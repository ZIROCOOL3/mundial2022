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plicacionesFX.NOLBERTO-LOPEZ\OneDrive\Documents\formulasfx\FormulasExcel Blog\Ejercicios\"/>
    </mc:Choice>
  </mc:AlternateContent>
  <xr:revisionPtr revIDLastSave="0" documentId="13_ncr:1_{17390A7E-8301-4272-9EFB-CCDFD8ECD2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ablaJuegos" sheetId="1" r:id="rId1"/>
    <sheet name="TablaGeneral" sheetId="2" r:id="rId2"/>
  </sheets>
  <definedNames>
    <definedName name="Campeon">TablaJuegos!$B$116</definedName>
    <definedName name="rng">TablaJuegos!$G$8:$G$13,TablaJuegos!$G$16:$G$21,TablaJuegos!$G$24:$G$29,TablaJuegos!$G$32:$G$37,TablaJuegos!$G$40:$G$45,TablaJuegos!$G$48:$G$53,TablaJuegos!$G$56,TablaJuegos!$G$56:$G$61,TablaJuegos!$G$64:$G$69,TablaJuegos!$G$76:$G$83,TablaJuegos!$G$92:$G$95,TablaJuegos!$G$101:$G$102,TablaJuegos!$G$107,TablaJuegos!$G$112</definedName>
    <definedName name="rngGoles">TablaJuegos!$G$8:$H$13,TablaJuegos!$G$16:$H$21,TablaJuegos!$G$24:$H$29,TablaJuegos!$G$32:$H$37,TablaJuegos!$G$40:$H$45,TablaJuegos!$G$48:$H$53,TablaJuegos!$G$56:$H$61,TablaJuegos!$G$64:$H$69,TablaJuegos!$F$76:$I$83,TablaJuegos!$F$92:$I$95,TablaJuegos!$F$101:$I$102,TablaJuegos!$F$107:$I$107,TablaJuegos!$F$112:$I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9" i="1" l="1" a="1"/>
  <c r="P9" i="1" s="1"/>
  <c r="T68" i="1" a="1"/>
  <c r="T68" i="1" s="1"/>
  <c r="S68" i="1" a="1"/>
  <c r="S68" i="1" s="1"/>
  <c r="R68" i="1" a="1"/>
  <c r="R68" i="1" s="1"/>
  <c r="Q68" i="1" a="1"/>
  <c r="Q68" i="1" s="1"/>
  <c r="P68" i="1" a="1"/>
  <c r="P68" i="1" s="1"/>
  <c r="T67" i="1" a="1"/>
  <c r="T67" i="1" s="1"/>
  <c r="S67" i="1" a="1"/>
  <c r="S67" i="1" s="1"/>
  <c r="R67" i="1" a="1"/>
  <c r="R67" i="1" s="1"/>
  <c r="Q67" i="1" a="1"/>
  <c r="Q67" i="1" s="1"/>
  <c r="P67" i="1" a="1"/>
  <c r="P67" i="1" s="1"/>
  <c r="T66" i="1" a="1"/>
  <c r="T66" i="1" s="1"/>
  <c r="S66" i="1" a="1"/>
  <c r="S66" i="1" s="1"/>
  <c r="R66" i="1" a="1"/>
  <c r="R66" i="1" s="1"/>
  <c r="Q66" i="1" a="1"/>
  <c r="Q66" i="1" s="1"/>
  <c r="P66" i="1" a="1"/>
  <c r="P66" i="1" s="1"/>
  <c r="T65" i="1" a="1"/>
  <c r="T65" i="1" s="1"/>
  <c r="S65" i="1" a="1"/>
  <c r="S65" i="1" s="1"/>
  <c r="R65" i="1" a="1"/>
  <c r="R65" i="1" s="1"/>
  <c r="Q65" i="1" a="1"/>
  <c r="Q65" i="1" s="1"/>
  <c r="P65" i="1" a="1"/>
  <c r="P65" i="1" s="1"/>
  <c r="T60" i="1" a="1"/>
  <c r="T60" i="1" s="1"/>
  <c r="S60" i="1" a="1"/>
  <c r="S60" i="1" s="1"/>
  <c r="R60" i="1" a="1"/>
  <c r="R60" i="1" s="1"/>
  <c r="Q60" i="1" a="1"/>
  <c r="Q60" i="1" s="1"/>
  <c r="P60" i="1" a="1"/>
  <c r="P60" i="1" s="1"/>
  <c r="T59" i="1" a="1"/>
  <c r="T59" i="1" s="1"/>
  <c r="S59" i="1" a="1"/>
  <c r="S59" i="1" s="1"/>
  <c r="R59" i="1" a="1"/>
  <c r="R59" i="1" s="1"/>
  <c r="Q59" i="1" a="1"/>
  <c r="Q59" i="1" s="1"/>
  <c r="P59" i="1" a="1"/>
  <c r="P59" i="1" s="1"/>
  <c r="T58" i="1" a="1"/>
  <c r="T58" i="1" s="1"/>
  <c r="S58" i="1" a="1"/>
  <c r="S58" i="1" s="1"/>
  <c r="R58" i="1" a="1"/>
  <c r="R58" i="1" s="1"/>
  <c r="Q58" i="1" a="1"/>
  <c r="Q58" i="1" s="1"/>
  <c r="P58" i="1" a="1"/>
  <c r="P58" i="1" s="1"/>
  <c r="T57" i="1" a="1"/>
  <c r="T57" i="1" s="1"/>
  <c r="S57" i="1" a="1"/>
  <c r="S57" i="1" s="1"/>
  <c r="R57" i="1" a="1"/>
  <c r="R57" i="1" s="1"/>
  <c r="Q57" i="1" a="1"/>
  <c r="Q57" i="1" s="1"/>
  <c r="P57" i="1" a="1"/>
  <c r="P57" i="1" s="1"/>
  <c r="T52" i="1" a="1"/>
  <c r="T52" i="1" s="1"/>
  <c r="S52" i="1" a="1"/>
  <c r="S52" i="1" s="1"/>
  <c r="R52" i="1" a="1"/>
  <c r="R52" i="1" s="1"/>
  <c r="Q52" i="1" a="1"/>
  <c r="Q52" i="1" s="1"/>
  <c r="P52" i="1" a="1"/>
  <c r="P52" i="1" s="1"/>
  <c r="T51" i="1" a="1"/>
  <c r="T51" i="1" s="1"/>
  <c r="S51" i="1" a="1"/>
  <c r="S51" i="1" s="1"/>
  <c r="R51" i="1" a="1"/>
  <c r="R51" i="1" s="1"/>
  <c r="Q51" i="1" a="1"/>
  <c r="Q51" i="1" s="1"/>
  <c r="P51" i="1" a="1"/>
  <c r="P51" i="1" s="1"/>
  <c r="T50" i="1" a="1"/>
  <c r="T50" i="1" s="1"/>
  <c r="S50" i="1" a="1"/>
  <c r="S50" i="1" s="1"/>
  <c r="R50" i="1" a="1"/>
  <c r="R50" i="1" s="1"/>
  <c r="Q50" i="1" a="1"/>
  <c r="Q50" i="1" s="1"/>
  <c r="P50" i="1" a="1"/>
  <c r="P50" i="1" s="1"/>
  <c r="T49" i="1" a="1"/>
  <c r="T49" i="1" s="1"/>
  <c r="S49" i="1" a="1"/>
  <c r="S49" i="1" s="1"/>
  <c r="R49" i="1" a="1"/>
  <c r="R49" i="1" s="1"/>
  <c r="Q49" i="1" a="1"/>
  <c r="Q49" i="1" s="1"/>
  <c r="P49" i="1" a="1"/>
  <c r="P49" i="1" s="1"/>
  <c r="T44" i="1" a="1"/>
  <c r="T44" i="1" s="1"/>
  <c r="S44" i="1" a="1"/>
  <c r="S44" i="1" s="1"/>
  <c r="R44" i="1" a="1"/>
  <c r="R44" i="1" s="1"/>
  <c r="Q44" i="1" a="1"/>
  <c r="Q44" i="1" s="1"/>
  <c r="P44" i="1" a="1"/>
  <c r="P44" i="1" s="1"/>
  <c r="T43" i="1" a="1"/>
  <c r="T43" i="1" s="1"/>
  <c r="S43" i="1" a="1"/>
  <c r="S43" i="1" s="1"/>
  <c r="R43" i="1" a="1"/>
  <c r="R43" i="1" s="1"/>
  <c r="Q43" i="1" a="1"/>
  <c r="Q43" i="1" s="1"/>
  <c r="P43" i="1" a="1"/>
  <c r="P43" i="1" s="1"/>
  <c r="T42" i="1" a="1"/>
  <c r="T42" i="1" s="1"/>
  <c r="S42" i="1" a="1"/>
  <c r="S42" i="1" s="1"/>
  <c r="R42" i="1" a="1"/>
  <c r="R42" i="1" s="1"/>
  <c r="Q42" i="1" a="1"/>
  <c r="Q42" i="1" s="1"/>
  <c r="P42" i="1" a="1"/>
  <c r="P42" i="1" s="1"/>
  <c r="T41" i="1" a="1"/>
  <c r="T41" i="1" s="1"/>
  <c r="S41" i="1" a="1"/>
  <c r="S41" i="1" s="1"/>
  <c r="R41" i="1" a="1"/>
  <c r="R41" i="1" s="1"/>
  <c r="Q41" i="1" a="1"/>
  <c r="Q41" i="1" s="1"/>
  <c r="P41" i="1" a="1"/>
  <c r="P41" i="1" s="1"/>
  <c r="T36" i="1" a="1"/>
  <c r="T36" i="1" s="1"/>
  <c r="S36" i="1" a="1"/>
  <c r="S36" i="1" s="1"/>
  <c r="R36" i="1" a="1"/>
  <c r="R36" i="1" s="1"/>
  <c r="Q36" i="1" a="1"/>
  <c r="Q36" i="1" s="1"/>
  <c r="P36" i="1" a="1"/>
  <c r="P36" i="1" s="1"/>
  <c r="T35" i="1" a="1"/>
  <c r="T35" i="1" s="1"/>
  <c r="S35" i="1" a="1"/>
  <c r="S35" i="1" s="1"/>
  <c r="R35" i="1" a="1"/>
  <c r="R35" i="1" s="1"/>
  <c r="Q35" i="1" a="1"/>
  <c r="Q35" i="1" s="1"/>
  <c r="P35" i="1" a="1"/>
  <c r="P35" i="1" s="1"/>
  <c r="T34" i="1" a="1"/>
  <c r="T34" i="1" s="1"/>
  <c r="S34" i="1" a="1"/>
  <c r="S34" i="1" s="1"/>
  <c r="R34" i="1" a="1"/>
  <c r="R34" i="1" s="1"/>
  <c r="Q34" i="1" a="1"/>
  <c r="Q34" i="1" s="1"/>
  <c r="P34" i="1" a="1"/>
  <c r="P34" i="1" s="1"/>
  <c r="T33" i="1" a="1"/>
  <c r="T33" i="1" s="1"/>
  <c r="S33" i="1" a="1"/>
  <c r="S33" i="1" s="1"/>
  <c r="R33" i="1" a="1"/>
  <c r="R33" i="1" s="1"/>
  <c r="Q33" i="1" a="1"/>
  <c r="Q33" i="1" s="1"/>
  <c r="P33" i="1" a="1"/>
  <c r="P33" i="1" s="1"/>
  <c r="T28" i="1" a="1"/>
  <c r="T28" i="1" s="1"/>
  <c r="S28" i="1" a="1"/>
  <c r="S28" i="1" s="1"/>
  <c r="R28" i="1" a="1"/>
  <c r="R28" i="1" s="1"/>
  <c r="Q28" i="1" a="1"/>
  <c r="Q28" i="1" s="1"/>
  <c r="P28" i="1" a="1"/>
  <c r="P28" i="1" s="1"/>
  <c r="T27" i="1" a="1"/>
  <c r="T27" i="1" s="1"/>
  <c r="S27" i="1" a="1"/>
  <c r="S27" i="1" s="1"/>
  <c r="R27" i="1" a="1"/>
  <c r="R27" i="1" s="1"/>
  <c r="Q27" i="1" a="1"/>
  <c r="Q27" i="1" s="1"/>
  <c r="P27" i="1" a="1"/>
  <c r="P27" i="1" s="1"/>
  <c r="T26" i="1" a="1"/>
  <c r="T26" i="1" s="1"/>
  <c r="S26" i="1" a="1"/>
  <c r="S26" i="1" s="1"/>
  <c r="R26" i="1" a="1"/>
  <c r="R26" i="1" s="1"/>
  <c r="Q26" i="1" a="1"/>
  <c r="Q26" i="1" s="1"/>
  <c r="P26" i="1" a="1"/>
  <c r="P26" i="1" s="1"/>
  <c r="T25" i="1" a="1"/>
  <c r="T25" i="1" s="1"/>
  <c r="S25" i="1" a="1"/>
  <c r="S25" i="1" s="1"/>
  <c r="R25" i="1" a="1"/>
  <c r="R25" i="1" s="1"/>
  <c r="Q25" i="1" a="1"/>
  <c r="Q25" i="1" s="1"/>
  <c r="P25" i="1" a="1"/>
  <c r="P25" i="1" s="1"/>
  <c r="T20" i="1" a="1"/>
  <c r="T20" i="1" s="1"/>
  <c r="S20" i="1"/>
  <c r="S20" i="1" a="1"/>
  <c r="R20" i="1" a="1"/>
  <c r="R20" i="1" s="1"/>
  <c r="Q20" i="1" a="1"/>
  <c r="Q20" i="1" s="1"/>
  <c r="P20" i="1" a="1"/>
  <c r="P20" i="1" s="1"/>
  <c r="T19" i="1" a="1"/>
  <c r="T19" i="1" s="1"/>
  <c r="S19" i="1" a="1"/>
  <c r="S19" i="1" s="1"/>
  <c r="R19" i="1" a="1"/>
  <c r="R19" i="1" s="1"/>
  <c r="Q19" i="1" a="1"/>
  <c r="Q19" i="1" s="1"/>
  <c r="P19" i="1" a="1"/>
  <c r="P19" i="1" s="1"/>
  <c r="T18" i="1" a="1"/>
  <c r="T18" i="1" s="1"/>
  <c r="S18" i="1" a="1"/>
  <c r="S18" i="1" s="1"/>
  <c r="R18" i="1" a="1"/>
  <c r="R18" i="1" s="1"/>
  <c r="Q18" i="1" a="1"/>
  <c r="Q18" i="1" s="1"/>
  <c r="P18" i="1" a="1"/>
  <c r="P18" i="1" s="1"/>
  <c r="T17" i="1" a="1"/>
  <c r="T17" i="1" s="1"/>
  <c r="S17" i="1" a="1"/>
  <c r="S17" i="1" s="1"/>
  <c r="R17" i="1" a="1"/>
  <c r="R17" i="1" s="1"/>
  <c r="Q17" i="1" a="1"/>
  <c r="Q17" i="1" s="1"/>
  <c r="P17" i="1" a="1"/>
  <c r="P17" i="1" s="1"/>
  <c r="T12" i="1" a="1"/>
  <c r="T12" i="1" s="1"/>
  <c r="S12" i="1" a="1"/>
  <c r="S12" i="1" s="1"/>
  <c r="R12" i="1" a="1"/>
  <c r="R12" i="1" s="1"/>
  <c r="Q12" i="1" a="1"/>
  <c r="Q12" i="1" s="1"/>
  <c r="P12" i="1" a="1"/>
  <c r="P12" i="1" s="1"/>
  <c r="T11" i="1" a="1"/>
  <c r="T11" i="1" s="1"/>
  <c r="S11" i="1" a="1"/>
  <c r="S11" i="1" s="1"/>
  <c r="R11" i="1" a="1"/>
  <c r="R11" i="1" s="1"/>
  <c r="Q11" i="1" a="1"/>
  <c r="Q11" i="1" s="1"/>
  <c r="P11" i="1" a="1"/>
  <c r="P11" i="1" s="1"/>
  <c r="T10" i="1" a="1"/>
  <c r="T10" i="1" s="1"/>
  <c r="S10" i="1" a="1"/>
  <c r="S10" i="1" s="1"/>
  <c r="R10" i="1" a="1"/>
  <c r="R10" i="1" s="1"/>
  <c r="Q10" i="1" a="1"/>
  <c r="Q10" i="1" s="1"/>
  <c r="P10" i="1" a="1"/>
  <c r="P10" i="1" s="1"/>
  <c r="T9" i="1" a="1"/>
  <c r="T9" i="1" s="1"/>
  <c r="S9" i="1" a="1"/>
  <c r="S9" i="1" s="1"/>
  <c r="R9" i="1" a="1"/>
  <c r="R9" i="1" s="1"/>
  <c r="Q9" i="1" a="1"/>
  <c r="Q9" i="1" s="1"/>
  <c r="N17" i="1" l="1"/>
  <c r="N9" i="1"/>
  <c r="O9" i="1"/>
  <c r="U65" i="1"/>
  <c r="U68" i="1"/>
  <c r="U67" i="1"/>
  <c r="O65" i="1"/>
  <c r="O67" i="1"/>
  <c r="N49" i="1"/>
  <c r="N41" i="1"/>
  <c r="N33" i="1"/>
  <c r="O25" i="1"/>
  <c r="U25" i="1"/>
  <c r="U27" i="1"/>
  <c r="O66" i="1"/>
  <c r="U66" i="1"/>
  <c r="U57" i="1"/>
  <c r="O60" i="1"/>
  <c r="N57" i="1"/>
  <c r="O58" i="1"/>
  <c r="U59" i="1"/>
  <c r="U58" i="1"/>
  <c r="N51" i="1"/>
  <c r="U51" i="1"/>
  <c r="O49" i="1"/>
  <c r="U49" i="1"/>
  <c r="N52" i="1"/>
  <c r="U52" i="1"/>
  <c r="O43" i="1"/>
  <c r="U43" i="1"/>
  <c r="O41" i="1"/>
  <c r="U41" i="1"/>
  <c r="U35" i="1"/>
  <c r="O35" i="1"/>
  <c r="O33" i="1"/>
  <c r="U33" i="1"/>
  <c r="N25" i="1"/>
  <c r="U19" i="1"/>
  <c r="O19" i="1"/>
  <c r="O17" i="1"/>
  <c r="U17" i="1"/>
  <c r="O11" i="1"/>
  <c r="U11" i="1"/>
  <c r="U9" i="1"/>
  <c r="N12" i="1"/>
  <c r="O12" i="1"/>
  <c r="N34" i="1"/>
  <c r="O34" i="1"/>
  <c r="N44" i="1"/>
  <c r="O44" i="1"/>
  <c r="N10" i="1"/>
  <c r="O10" i="1"/>
  <c r="N20" i="1"/>
  <c r="O20" i="1"/>
  <c r="N42" i="1"/>
  <c r="O42" i="1"/>
  <c r="N18" i="1"/>
  <c r="O18" i="1"/>
  <c r="N28" i="1"/>
  <c r="O28" i="1"/>
  <c r="N50" i="1"/>
  <c r="O50" i="1"/>
  <c r="N26" i="1"/>
  <c r="O26" i="1"/>
  <c r="O27" i="1"/>
  <c r="N36" i="1"/>
  <c r="O36" i="1"/>
  <c r="U10" i="1"/>
  <c r="N11" i="1"/>
  <c r="U18" i="1"/>
  <c r="N19" i="1"/>
  <c r="U26" i="1"/>
  <c r="N27" i="1"/>
  <c r="U34" i="1"/>
  <c r="N35" i="1"/>
  <c r="U42" i="1"/>
  <c r="N43" i="1"/>
  <c r="U50" i="1"/>
  <c r="O59" i="1"/>
  <c r="O57" i="1"/>
  <c r="N60" i="1"/>
  <c r="N65" i="1"/>
  <c r="U12" i="1"/>
  <c r="U20" i="1"/>
  <c r="U28" i="1"/>
  <c r="U36" i="1"/>
  <c r="U44" i="1"/>
  <c r="O51" i="1"/>
  <c r="O52" i="1"/>
  <c r="N58" i="1"/>
  <c r="N59" i="1"/>
  <c r="U60" i="1"/>
  <c r="N66" i="1"/>
  <c r="N67" i="1"/>
  <c r="O68" i="1"/>
  <c r="N68" i="1"/>
  <c r="L67" i="1" l="1" a="1"/>
  <c r="L67" i="1" s="1"/>
  <c r="L68" i="1" a="1"/>
  <c r="L68" i="1" s="1"/>
  <c r="L66" i="1" a="1"/>
  <c r="L66" i="1" s="1"/>
  <c r="L65" i="1" a="1"/>
  <c r="L65" i="1" s="1"/>
  <c r="L59" i="1" a="1"/>
  <c r="L59" i="1" s="1"/>
  <c r="L60" i="1" a="1"/>
  <c r="L60" i="1" s="1"/>
  <c r="L57" i="1" a="1"/>
  <c r="L57" i="1" s="1"/>
  <c r="L58" i="1" a="1"/>
  <c r="L58" i="1" s="1"/>
  <c r="L52" i="1" a="1"/>
  <c r="L52" i="1" s="1"/>
  <c r="L51" i="1" a="1"/>
  <c r="L51" i="1" s="1"/>
  <c r="L49" i="1" a="1"/>
  <c r="L49" i="1" s="1"/>
  <c r="E82" i="1" s="1"/>
  <c r="M78" i="1" s="1"/>
  <c r="L50" i="1" a="1"/>
  <c r="L50" i="1" s="1"/>
  <c r="L44" i="1" a="1"/>
  <c r="L44" i="1" s="1"/>
  <c r="L43" i="1" a="1"/>
  <c r="L43" i="1" s="1"/>
  <c r="L42" i="1" a="1"/>
  <c r="L42" i="1" s="1"/>
  <c r="L41" i="1" a="1"/>
  <c r="L41" i="1" s="1"/>
  <c r="L36" i="1" a="1"/>
  <c r="L36" i="1" s="1"/>
  <c r="L35" i="1" a="1"/>
  <c r="L35" i="1" s="1"/>
  <c r="E78" i="1" s="1"/>
  <c r="M74" i="1" s="1"/>
  <c r="L34" i="1" a="1"/>
  <c r="L34" i="1" s="1"/>
  <c r="L33" i="1" a="1"/>
  <c r="L33" i="1" s="1"/>
  <c r="L27" i="1" a="1"/>
  <c r="L27" i="1" s="1"/>
  <c r="L28" i="1" a="1"/>
  <c r="L28" i="1" s="1"/>
  <c r="L25" i="1" a="1"/>
  <c r="L25" i="1" s="1"/>
  <c r="L26" i="1" a="1"/>
  <c r="L26" i="1" s="1"/>
  <c r="L20" i="1" a="1"/>
  <c r="L20" i="1" s="1"/>
  <c r="L19" i="1" a="1"/>
  <c r="L19" i="1" s="1"/>
  <c r="L17" i="1" a="1"/>
  <c r="L17" i="1" s="1"/>
  <c r="E79" i="1" s="1"/>
  <c r="M75" i="1" s="1"/>
  <c r="L11" i="1" a="1"/>
  <c r="L11" i="1" s="1"/>
  <c r="L12" i="1" a="1"/>
  <c r="L12" i="1" s="1"/>
  <c r="L10" i="1" a="1"/>
  <c r="L10" i="1" s="1"/>
  <c r="L9" i="1" a="1"/>
  <c r="L9" i="1" s="1"/>
  <c r="L18" i="1" a="1"/>
  <c r="L18" i="1" s="1"/>
  <c r="J83" i="1" l="1"/>
  <c r="M87" i="1" s="1"/>
  <c r="J77" i="1"/>
  <c r="M81" i="1" s="1"/>
  <c r="J78" i="1"/>
  <c r="E95" i="1" s="1"/>
  <c r="J79" i="1"/>
  <c r="J95" i="1" s="1"/>
  <c r="M97" i="1" s="1"/>
  <c r="E80" i="1"/>
  <c r="M76" i="1" s="1"/>
  <c r="E81" i="1"/>
  <c r="M77" i="1" s="1"/>
  <c r="J81" i="1"/>
  <c r="J80" i="1"/>
  <c r="J82" i="1"/>
  <c r="E94" i="1" s="1"/>
  <c r="E77" i="1"/>
  <c r="M73" i="1" s="1"/>
  <c r="E83" i="1"/>
  <c r="M79" i="1" s="1"/>
  <c r="J76" i="1"/>
  <c r="M80" i="1" s="1"/>
  <c r="E76" i="1"/>
  <c r="M82" i="1" l="1"/>
  <c r="M83" i="1"/>
  <c r="E92" i="1"/>
  <c r="M90" i="1" s="1"/>
  <c r="J92" i="1"/>
  <c r="M94" i="1" s="1"/>
  <c r="J94" i="1"/>
  <c r="M96" i="1" s="1"/>
  <c r="M85" i="1"/>
  <c r="M84" i="1"/>
  <c r="M86" i="1"/>
  <c r="J93" i="1"/>
  <c r="M95" i="1" s="1"/>
  <c r="E93" i="1"/>
  <c r="M72" i="1"/>
  <c r="E102" i="1"/>
  <c r="M93" i="1"/>
  <c r="M92" i="1"/>
  <c r="O87" i="1" l="1"/>
  <c r="T87" i="1" s="1"/>
  <c r="J101" i="1"/>
  <c r="M102" i="1" s="1"/>
  <c r="J102" i="1"/>
  <c r="M103" i="1" s="1"/>
  <c r="E101" i="1"/>
  <c r="M100" i="1" s="1"/>
  <c r="O85" i="1"/>
  <c r="S85" i="1" s="1"/>
  <c r="O81" i="1"/>
  <c r="T81" i="1" s="1"/>
  <c r="O82" i="1"/>
  <c r="S82" i="1" s="1"/>
  <c r="O73" i="1"/>
  <c r="T73" i="1" s="1"/>
  <c r="O83" i="1"/>
  <c r="T83" i="1" s="1"/>
  <c r="O84" i="1"/>
  <c r="P84" i="1" s="1"/>
  <c r="R84" i="1" s="1"/>
  <c r="O86" i="1"/>
  <c r="S86" i="1" s="1"/>
  <c r="O76" i="1"/>
  <c r="T76" i="1" s="1"/>
  <c r="O80" i="1"/>
  <c r="T80" i="1" s="1"/>
  <c r="O74" i="1"/>
  <c r="S74" i="1" s="1"/>
  <c r="O78" i="1"/>
  <c r="T78" i="1" s="1"/>
  <c r="O77" i="1"/>
  <c r="T77" i="1" s="1"/>
  <c r="O79" i="1"/>
  <c r="P79" i="1" s="1"/>
  <c r="R79" i="1" s="1"/>
  <c r="O75" i="1"/>
  <c r="T75" i="1" s="1"/>
  <c r="O72" i="1"/>
  <c r="P72" i="1" s="1"/>
  <c r="R72" i="1" s="1"/>
  <c r="M91" i="1"/>
  <c r="M101" i="1"/>
  <c r="S81" i="1"/>
  <c r="O91" i="1" l="1"/>
  <c r="P91" i="1" s="1"/>
  <c r="R91" i="1" s="1"/>
  <c r="P87" i="1"/>
  <c r="R87" i="1" s="1"/>
  <c r="S87" i="1"/>
  <c r="U87" i="1" s="1"/>
  <c r="O96" i="1"/>
  <c r="P96" i="1" s="1"/>
  <c r="R96" i="1" s="1"/>
  <c r="O92" i="1"/>
  <c r="P92" i="1" s="1"/>
  <c r="R92" i="1" s="1"/>
  <c r="O90" i="1"/>
  <c r="T90" i="1" s="1"/>
  <c r="O97" i="1"/>
  <c r="S97" i="1" s="1"/>
  <c r="O93" i="1"/>
  <c r="P93" i="1" s="1"/>
  <c r="R93" i="1" s="1"/>
  <c r="O95" i="1"/>
  <c r="T95" i="1" s="1"/>
  <c r="O94" i="1"/>
  <c r="S94" i="1" s="1"/>
  <c r="J107" i="1"/>
  <c r="M107" i="1" s="1"/>
  <c r="J112" i="1"/>
  <c r="M112" i="1" s="1"/>
  <c r="E112" i="1"/>
  <c r="S84" i="1"/>
  <c r="S75" i="1"/>
  <c r="U75" i="1" s="1"/>
  <c r="P81" i="1"/>
  <c r="R81" i="1" s="1"/>
  <c r="E107" i="1"/>
  <c r="M106" i="1" s="1"/>
  <c r="T84" i="1"/>
  <c r="P82" i="1"/>
  <c r="R82" i="1" s="1"/>
  <c r="T86" i="1"/>
  <c r="U86" i="1" s="1"/>
  <c r="P86" i="1"/>
  <c r="R86" i="1" s="1"/>
  <c r="T82" i="1"/>
  <c r="U82" i="1" s="1"/>
  <c r="P74" i="1"/>
  <c r="R74" i="1" s="1"/>
  <c r="T74" i="1"/>
  <c r="U74" i="1" s="1"/>
  <c r="P78" i="1"/>
  <c r="R78" i="1" s="1"/>
  <c r="T85" i="1"/>
  <c r="U85" i="1" s="1"/>
  <c r="P85" i="1"/>
  <c r="R85" i="1" s="1"/>
  <c r="P83" i="1"/>
  <c r="R83" i="1" s="1"/>
  <c r="S83" i="1"/>
  <c r="U83" i="1" s="1"/>
  <c r="S80" i="1"/>
  <c r="U80" i="1" s="1"/>
  <c r="P80" i="1"/>
  <c r="R80" i="1" s="1"/>
  <c r="S78" i="1"/>
  <c r="U78" i="1" s="1"/>
  <c r="S76" i="1"/>
  <c r="U76" i="1" s="1"/>
  <c r="P73" i="1"/>
  <c r="R73" i="1" s="1"/>
  <c r="T72" i="1"/>
  <c r="S79" i="1"/>
  <c r="S72" i="1"/>
  <c r="T79" i="1"/>
  <c r="S73" i="1"/>
  <c r="U73" i="1" s="1"/>
  <c r="S77" i="1"/>
  <c r="U77" i="1" s="1"/>
  <c r="P77" i="1"/>
  <c r="R77" i="1" s="1"/>
  <c r="P76" i="1"/>
  <c r="R76" i="1" s="1"/>
  <c r="P75" i="1"/>
  <c r="R75" i="1" s="1"/>
  <c r="P90" i="1"/>
  <c r="R90" i="1" s="1"/>
  <c r="T97" i="1"/>
  <c r="U97" i="1" s="1"/>
  <c r="U81" i="1"/>
  <c r="S91" i="1" l="1"/>
  <c r="T91" i="1"/>
  <c r="S90" i="1"/>
  <c r="U90" i="1" s="1"/>
  <c r="T96" i="1"/>
  <c r="T92" i="1"/>
  <c r="S96" i="1"/>
  <c r="S92" i="1"/>
  <c r="P97" i="1"/>
  <c r="R97" i="1" s="1"/>
  <c r="T93" i="1"/>
  <c r="S93" i="1"/>
  <c r="S95" i="1"/>
  <c r="U95" i="1" s="1"/>
  <c r="P95" i="1"/>
  <c r="R95" i="1" s="1"/>
  <c r="P94" i="1"/>
  <c r="R94" i="1" s="1"/>
  <c r="T94" i="1"/>
  <c r="U94" i="1" s="1"/>
  <c r="B116" i="1"/>
  <c r="U84" i="1"/>
  <c r="O101" i="1"/>
  <c r="T101" i="1" s="1"/>
  <c r="O103" i="1"/>
  <c r="T103" i="1" s="1"/>
  <c r="P111" i="1"/>
  <c r="O102" i="1"/>
  <c r="P102" i="1" s="1"/>
  <c r="R102" i="1" s="1"/>
  <c r="O100" i="1"/>
  <c r="T100" i="1" s="1"/>
  <c r="P106" i="1"/>
  <c r="M111" i="1"/>
  <c r="C19" i="2" s="1"/>
  <c r="O111" i="1"/>
  <c r="O106" i="1"/>
  <c r="T106" i="1" s="1"/>
  <c r="U79" i="1"/>
  <c r="U72" i="1"/>
  <c r="U92" i="1"/>
  <c r="U96" i="1"/>
  <c r="U91" i="1" l="1"/>
  <c r="U93" i="1"/>
  <c r="P101" i="1"/>
  <c r="R101" i="1" s="1"/>
  <c r="F22" i="2"/>
  <c r="U106" i="1"/>
  <c r="S106" i="1"/>
  <c r="P100" i="1"/>
  <c r="R100" i="1" s="1"/>
  <c r="S100" i="1"/>
  <c r="S101" i="1"/>
  <c r="U101" i="1" s="1"/>
  <c r="R106" i="1"/>
  <c r="O107" i="1"/>
  <c r="S103" i="1"/>
  <c r="U103" i="1" s="1"/>
  <c r="R111" i="1"/>
  <c r="S102" i="1"/>
  <c r="C20" i="2"/>
  <c r="C13" i="2"/>
  <c r="C15" i="2"/>
  <c r="F18" i="2"/>
  <c r="C14" i="2"/>
  <c r="F16" i="2"/>
  <c r="F15" i="2"/>
  <c r="S111" i="1"/>
  <c r="C22" i="2"/>
  <c r="F3" i="2"/>
  <c r="F11" i="2"/>
  <c r="F5" i="2"/>
  <c r="F14" i="2"/>
  <c r="C5" i="2"/>
  <c r="F24" i="2"/>
  <c r="C7" i="2"/>
  <c r="C33" i="2"/>
  <c r="C26" i="2"/>
  <c r="F31" i="2"/>
  <c r="F13" i="2"/>
  <c r="C29" i="2"/>
  <c r="F28" i="2"/>
  <c r="C3" i="2"/>
  <c r="F19" i="2"/>
  <c r="F29" i="2"/>
  <c r="C12" i="2"/>
  <c r="C31" i="2"/>
  <c r="F27" i="2"/>
  <c r="C25" i="2"/>
  <c r="C16" i="2"/>
  <c r="F34" i="2"/>
  <c r="C18" i="2"/>
  <c r="F10" i="2"/>
  <c r="F30" i="2"/>
  <c r="F23" i="2"/>
  <c r="C24" i="2"/>
  <c r="F32" i="2"/>
  <c r="C23" i="2"/>
  <c r="F20" i="2"/>
  <c r="F9" i="2"/>
  <c r="C11" i="2"/>
  <c r="C21" i="2"/>
  <c r="F17" i="2"/>
  <c r="C28" i="2"/>
  <c r="C6" i="2"/>
  <c r="F6" i="2"/>
  <c r="F26" i="2"/>
  <c r="C8" i="2"/>
  <c r="C9" i="2"/>
  <c r="F21" i="2"/>
  <c r="F25" i="2"/>
  <c r="C10" i="2"/>
  <c r="F12" i="2"/>
  <c r="C34" i="2"/>
  <c r="F7" i="2"/>
  <c r="C17" i="2"/>
  <c r="C27" i="2"/>
  <c r="F4" i="2"/>
  <c r="F8" i="2"/>
  <c r="C4" i="2"/>
  <c r="C30" i="2"/>
  <c r="F33" i="2"/>
  <c r="C32" i="2"/>
  <c r="U111" i="1"/>
  <c r="T111" i="1"/>
  <c r="O112" i="1"/>
  <c r="T102" i="1"/>
  <c r="P103" i="1"/>
  <c r="R103" i="1" s="1"/>
  <c r="D13" i="2"/>
  <c r="D23" i="2"/>
  <c r="D11" i="2"/>
  <c r="D16" i="2"/>
  <c r="D5" i="2"/>
  <c r="D18" i="2"/>
  <c r="D24" i="2"/>
  <c r="D9" i="2"/>
  <c r="D6" i="2"/>
  <c r="D32" i="2"/>
  <c r="D28" i="2"/>
  <c r="D21" i="2"/>
  <c r="D17" i="2"/>
  <c r="D10" i="2"/>
  <c r="D33" i="2"/>
  <c r="D14" i="2"/>
  <c r="D3" i="2"/>
  <c r="D34" i="2"/>
  <c r="D26" i="2"/>
  <c r="D27" i="2"/>
  <c r="D31" i="2"/>
  <c r="D29" i="2"/>
  <c r="D25" i="2"/>
  <c r="D19" i="2"/>
  <c r="D15" i="2"/>
  <c r="D7" i="2"/>
  <c r="D4" i="2"/>
  <c r="D20" i="2"/>
  <c r="D8" i="2"/>
  <c r="D22" i="2"/>
  <c r="D12" i="2"/>
  <c r="T107" i="1"/>
  <c r="T112" i="1"/>
  <c r="S107" i="1"/>
  <c r="U107" i="1"/>
  <c r="P107" i="1"/>
  <c r="U100" i="1"/>
  <c r="U112" i="1"/>
  <c r="D30" i="2"/>
  <c r="P112" i="1"/>
  <c r="E16" i="2" s="1"/>
  <c r="S112" i="1"/>
  <c r="U102" i="1" l="1"/>
  <c r="I23" i="2"/>
  <c r="L23" i="2" s="1"/>
  <c r="H23" i="2"/>
  <c r="K23" i="2" s="1"/>
  <c r="E23" i="2"/>
  <c r="J5" i="2"/>
  <c r="H5" i="2"/>
  <c r="K5" i="2" s="1"/>
  <c r="I6" i="2"/>
  <c r="L6" i="2" s="1"/>
  <c r="E11" i="2"/>
  <c r="I11" i="2"/>
  <c r="L11" i="2" s="1"/>
  <c r="J11" i="2"/>
  <c r="H11" i="2"/>
  <c r="K11" i="2" s="1"/>
  <c r="H6" i="2"/>
  <c r="K6" i="2" s="1"/>
  <c r="E18" i="2"/>
  <c r="E5" i="2"/>
  <c r="I18" i="2"/>
  <c r="L18" i="2" s="1"/>
  <c r="I5" i="2"/>
  <c r="L5" i="2" s="1"/>
  <c r="H28" i="2"/>
  <c r="K28" i="2" s="1"/>
  <c r="J28" i="2"/>
  <c r="H18" i="2"/>
  <c r="K18" i="2" s="1"/>
  <c r="H24" i="2"/>
  <c r="K24" i="2" s="1"/>
  <c r="I24" i="2"/>
  <c r="L24" i="2" s="1"/>
  <c r="E24" i="2"/>
  <c r="J10" i="2"/>
  <c r="I9" i="2"/>
  <c r="L9" i="2" s="1"/>
  <c r="H9" i="2"/>
  <c r="K9" i="2" s="1"/>
  <c r="E9" i="2"/>
  <c r="J6" i="2"/>
  <c r="E6" i="2"/>
  <c r="J23" i="2"/>
  <c r="J24" i="2"/>
  <c r="J32" i="2"/>
  <c r="J18" i="2"/>
  <c r="J16" i="2"/>
  <c r="J9" i="2"/>
  <c r="E33" i="2"/>
  <c r="H32" i="2"/>
  <c r="K32" i="2" s="1"/>
  <c r="I28" i="2"/>
  <c r="L28" i="2" s="1"/>
  <c r="I32" i="2"/>
  <c r="L32" i="2" s="1"/>
  <c r="E32" i="2"/>
  <c r="E28" i="2"/>
  <c r="H13" i="2"/>
  <c r="K13" i="2" s="1"/>
  <c r="H21" i="2"/>
  <c r="K21" i="2" s="1"/>
  <c r="I33" i="2"/>
  <c r="L33" i="2" s="1"/>
  <c r="I21" i="2"/>
  <c r="L21" i="2" s="1"/>
  <c r="E21" i="2"/>
  <c r="J13" i="2"/>
  <c r="J21" i="2"/>
  <c r="J17" i="2"/>
  <c r="H10" i="2"/>
  <c r="K10" i="2" s="1"/>
  <c r="H17" i="2"/>
  <c r="K17" i="2" s="1"/>
  <c r="I10" i="2"/>
  <c r="L10" i="2" s="1"/>
  <c r="I17" i="2"/>
  <c r="L17" i="2" s="1"/>
  <c r="E17" i="2"/>
  <c r="I16" i="2"/>
  <c r="L16" i="2" s="1"/>
  <c r="H16" i="2"/>
  <c r="K16" i="2" s="1"/>
  <c r="E14" i="2"/>
  <c r="E10" i="2"/>
  <c r="J33" i="2"/>
  <c r="H33" i="2"/>
  <c r="K33" i="2" s="1"/>
  <c r="I14" i="2"/>
  <c r="L14" i="2" s="1"/>
  <c r="H30" i="2"/>
  <c r="K30" i="2" s="1"/>
  <c r="H14" i="2"/>
  <c r="K14" i="2" s="1"/>
  <c r="E26" i="2"/>
  <c r="I26" i="2"/>
  <c r="L26" i="2" s="1"/>
  <c r="E34" i="2"/>
  <c r="H3" i="2"/>
  <c r="K3" i="2" s="1"/>
  <c r="I15" i="2"/>
  <c r="L15" i="2" s="1"/>
  <c r="I3" i="2"/>
  <c r="L3" i="2" s="1"/>
  <c r="J3" i="2"/>
  <c r="E3" i="2"/>
  <c r="J26" i="2"/>
  <c r="H26" i="2"/>
  <c r="K26" i="2" s="1"/>
  <c r="J30" i="2"/>
  <c r="E27" i="2"/>
  <c r="I27" i="2"/>
  <c r="L27" i="2" s="1"/>
  <c r="H27" i="2"/>
  <c r="K27" i="2" s="1"/>
  <c r="E15" i="2"/>
  <c r="E31" i="2"/>
  <c r="I29" i="2"/>
  <c r="L29" i="2" s="1"/>
  <c r="I31" i="2"/>
  <c r="L31" i="2" s="1"/>
  <c r="H31" i="2"/>
  <c r="K31" i="2" s="1"/>
  <c r="H29" i="2"/>
  <c r="K29" i="2" s="1"/>
  <c r="E29" i="2"/>
  <c r="E25" i="2"/>
  <c r="I4" i="2"/>
  <c r="L4" i="2" s="1"/>
  <c r="I25" i="2"/>
  <c r="L25" i="2" s="1"/>
  <c r="H25" i="2"/>
  <c r="K25" i="2" s="1"/>
  <c r="H19" i="2"/>
  <c r="K19" i="2" s="1"/>
  <c r="J19" i="2"/>
  <c r="E19" i="2"/>
  <c r="I19" i="2"/>
  <c r="L19" i="2" s="1"/>
  <c r="H15" i="2"/>
  <c r="K15" i="2" s="1"/>
  <c r="J29" i="2"/>
  <c r="J15" i="2"/>
  <c r="I7" i="2"/>
  <c r="L7" i="2" s="1"/>
  <c r="E13" i="2"/>
  <c r="E7" i="2"/>
  <c r="H7" i="2"/>
  <c r="K7" i="2" s="1"/>
  <c r="J7" i="2"/>
  <c r="J27" i="2"/>
  <c r="E4" i="2"/>
  <c r="H4" i="2"/>
  <c r="K4" i="2" s="1"/>
  <c r="J4" i="2"/>
  <c r="J20" i="2"/>
  <c r="H20" i="2"/>
  <c r="K20" i="2" s="1"/>
  <c r="I13" i="2"/>
  <c r="L13" i="2" s="1"/>
  <c r="I20" i="2"/>
  <c r="L20" i="2" s="1"/>
  <c r="E20" i="2"/>
  <c r="I8" i="2"/>
  <c r="L8" i="2" s="1"/>
  <c r="J34" i="2"/>
  <c r="H34" i="2"/>
  <c r="K34" i="2" s="1"/>
  <c r="I34" i="2"/>
  <c r="L34" i="2" s="1"/>
  <c r="E22" i="2"/>
  <c r="E8" i="2"/>
  <c r="J8" i="2"/>
  <c r="H8" i="2"/>
  <c r="K8" i="2" s="1"/>
  <c r="I12" i="2"/>
  <c r="L12" i="2" s="1"/>
  <c r="I22" i="2"/>
  <c r="L22" i="2" s="1"/>
  <c r="J22" i="2"/>
  <c r="H22" i="2"/>
  <c r="K22" i="2" s="1"/>
  <c r="J14" i="2"/>
  <c r="J31" i="2"/>
  <c r="E12" i="2"/>
  <c r="L111" i="1"/>
  <c r="H12" i="2"/>
  <c r="K12" i="2" s="1"/>
  <c r="J25" i="2"/>
  <c r="J12" i="2"/>
  <c r="R112" i="1"/>
  <c r="I30" i="2"/>
  <c r="L30" i="2" s="1"/>
  <c r="R107" i="1"/>
  <c r="L107" i="1"/>
  <c r="L106" i="1"/>
  <c r="L112" i="1"/>
  <c r="E30" i="2"/>
  <c r="G23" i="2" l="1"/>
  <c r="G24" i="2"/>
  <c r="G5" i="2"/>
  <c r="G11" i="2"/>
  <c r="G32" i="2"/>
  <c r="G18" i="2"/>
  <c r="G6" i="2"/>
  <c r="G9" i="2"/>
  <c r="G16" i="2"/>
  <c r="G21" i="2"/>
  <c r="G28" i="2"/>
  <c r="G10" i="2"/>
  <c r="G17" i="2"/>
  <c r="G26" i="2"/>
  <c r="G33" i="2"/>
  <c r="G14" i="2"/>
  <c r="G3" i="2"/>
  <c r="G31" i="2"/>
  <c r="G27" i="2"/>
  <c r="G25" i="2"/>
  <c r="G29" i="2"/>
  <c r="G15" i="2"/>
  <c r="G19" i="2"/>
  <c r="G4" i="2"/>
  <c r="G7" i="2"/>
  <c r="G13" i="2"/>
  <c r="G20" i="2"/>
  <c r="G8" i="2"/>
  <c r="G34" i="2"/>
  <c r="G12" i="2"/>
  <c r="G22" i="2"/>
  <c r="L100" i="1"/>
  <c r="L103" i="1"/>
  <c r="L102" i="1"/>
  <c r="L101" i="1"/>
  <c r="G30" i="2"/>
  <c r="L94" i="1" l="1"/>
  <c r="L95" i="1"/>
  <c r="L97" i="1"/>
  <c r="L93" i="1"/>
  <c r="L91" i="1"/>
  <c r="L90" i="1"/>
  <c r="L92" i="1"/>
  <c r="L96" i="1"/>
  <c r="L80" i="1" l="1"/>
  <c r="L84" i="1"/>
  <c r="L79" i="1"/>
  <c r="L74" i="1"/>
  <c r="L73" i="1"/>
  <c r="L78" i="1"/>
  <c r="L83" i="1"/>
  <c r="L77" i="1"/>
  <c r="L81" i="1"/>
  <c r="L87" i="1"/>
  <c r="L85" i="1"/>
  <c r="L86" i="1"/>
  <c r="L76" i="1"/>
  <c r="L82" i="1"/>
  <c r="L75" i="1"/>
  <c r="L72" i="1"/>
  <c r="A18" i="2" l="1"/>
  <c r="A11" i="2"/>
  <c r="A28" i="2"/>
  <c r="A7" i="2"/>
  <c r="A5" i="2"/>
  <c r="A24" i="2"/>
  <c r="A14" i="2"/>
  <c r="A23" i="2"/>
  <c r="A6" i="2"/>
  <c r="A13" i="2"/>
  <c r="A9" i="2"/>
  <c r="A33" i="2"/>
  <c r="A21" i="2"/>
  <c r="A17" i="2"/>
  <c r="A10" i="2"/>
  <c r="A16" i="2"/>
  <c r="A27" i="2"/>
  <c r="A3" i="2"/>
  <c r="A20" i="2"/>
  <c r="A25" i="2"/>
  <c r="A26" i="2"/>
  <c r="A34" i="2"/>
  <c r="A4" i="2"/>
  <c r="A31" i="2"/>
  <c r="A15" i="2"/>
  <c r="A30" i="2"/>
  <c r="A19" i="2"/>
  <c r="A12" i="2"/>
  <c r="A22" i="2"/>
  <c r="A29" i="2"/>
  <c r="A32" i="2"/>
  <c r="A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<sst xmlns="http://schemas.openxmlformats.org/spreadsheetml/2006/main" count="422" uniqueCount="77">
  <si>
    <t>Desde octavos de final, si hay empate debes registrar en las columnas F , I</t>
  </si>
  <si>
    <t>FECHA</t>
  </si>
  <si>
    <t>HORA</t>
  </si>
  <si>
    <t>LUGAR</t>
  </si>
  <si>
    <t>Resultados Grupo A</t>
  </si>
  <si>
    <t>EQUIPO</t>
  </si>
  <si>
    <t>Pts</t>
  </si>
  <si>
    <t>J</t>
  </si>
  <si>
    <t>G</t>
  </si>
  <si>
    <t>E</t>
  </si>
  <si>
    <t>P</t>
  </si>
  <si>
    <t>GF</t>
  </si>
  <si>
    <t>GC</t>
  </si>
  <si>
    <t>D</t>
  </si>
  <si>
    <t>Uruguay</t>
  </si>
  <si>
    <t>Francia</t>
  </si>
  <si>
    <t>Resultados Grupo B</t>
  </si>
  <si>
    <t>Argentina</t>
  </si>
  <si>
    <t>Corea del Sur</t>
  </si>
  <si>
    <t>Resultados Grupo C</t>
  </si>
  <si>
    <t>Inglaterra</t>
  </si>
  <si>
    <t>Resultados Grupo D</t>
  </si>
  <si>
    <t>Alemania</t>
  </si>
  <si>
    <t>Resultados Grupo E</t>
  </si>
  <si>
    <t>Resultados Grupo F</t>
  </si>
  <si>
    <t>Resultados Grupo G</t>
  </si>
  <si>
    <t>Portugal</t>
  </si>
  <si>
    <t>Brasil</t>
  </si>
  <si>
    <t>Resultados Grupo H</t>
  </si>
  <si>
    <t>España</t>
  </si>
  <si>
    <t>Suiza</t>
  </si>
  <si>
    <t>Resultados Octavos de Final</t>
  </si>
  <si>
    <t>Resultados Cuartos de Final</t>
  </si>
  <si>
    <t>Resultados Semifinales</t>
  </si>
  <si>
    <t>Partido por el tercer puesto</t>
  </si>
  <si>
    <t>FINAL</t>
  </si>
  <si>
    <t>Posición</t>
  </si>
  <si>
    <t>RONDA</t>
  </si>
  <si>
    <t>GF/P</t>
  </si>
  <si>
    <t>GC/P</t>
  </si>
  <si>
    <t>Croacia</t>
  </si>
  <si>
    <t>Pos</t>
  </si>
  <si>
    <t>Registra los resultados de los partidos en las celdas color verde.</t>
  </si>
  <si>
    <t>Marruecos</t>
  </si>
  <si>
    <t>Dinamarca</t>
  </si>
  <si>
    <t>Serbia</t>
  </si>
  <si>
    <t>Túnez</t>
  </si>
  <si>
    <t>México</t>
  </si>
  <si>
    <t>Bélgica</t>
  </si>
  <si>
    <t>Polonia</t>
  </si>
  <si>
    <t>Senegal</t>
  </si>
  <si>
    <t>Japón</t>
  </si>
  <si>
    <t>Irán</t>
  </si>
  <si>
    <t>https://formulasexcel.com</t>
  </si>
  <si>
    <t>Qatar</t>
  </si>
  <si>
    <t>Ecuador</t>
  </si>
  <si>
    <t>Países Bajos</t>
  </si>
  <si>
    <t>Estados Unidos</t>
  </si>
  <si>
    <t>Arabia Saudí</t>
  </si>
  <si>
    <t>Canadá</t>
  </si>
  <si>
    <t>Camerún</t>
  </si>
  <si>
    <t>Ghana</t>
  </si>
  <si>
    <t>Copa mundial de fútbol - Qatar  2022</t>
  </si>
  <si>
    <t>Al Thumama</t>
  </si>
  <si>
    <t>Al Bayt</t>
  </si>
  <si>
    <t>Ahmad Bin Ali</t>
  </si>
  <si>
    <t>Education City</t>
  </si>
  <si>
    <t>Stadium 974</t>
  </si>
  <si>
    <t>Al Janoub</t>
  </si>
  <si>
    <t>Khalifa International</t>
  </si>
  <si>
    <t>Ahmed bin Ali</t>
  </si>
  <si>
    <t>Lusail Iconic</t>
  </si>
  <si>
    <t>Lusail Iconic Stadium</t>
  </si>
  <si>
    <t>Lusail Iconic Iconic</t>
  </si>
  <si>
    <t>Gales</t>
  </si>
  <si>
    <t>Australia</t>
  </si>
  <si>
    <t>Costa 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</si>
</sst>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d\-mmm\ ;@"/>
    <numFmt numFmtId="165" formatCode="[hh]:mm;@"/>
    <numFmt numFmtId="166" formatCode="\+0;\-0;0;@"/>
    <numFmt numFmtId="167" formatCode="#,##0\ ;[Red]\-#,##0\ ;;@"/>
    <numFmt numFmtId="168" formatCode="#,##0\ ;[Red]\-#,##0\ ;0\ ;@"/>
    <numFmt numFmtId="169" formatCode="\+0\ ;\-0\ ;0\ ;@"/>
    <numFmt numFmtId="170" formatCode="0.0%\ ;@"/>
    <numFmt numFmtId="171" formatCode="#,##0.00\ ;[Red]\-#,##0.00\ ;0.00\ 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C00000"/>
      <name val="Calibri"/>
      <family val="2"/>
      <scheme val="minor"/>
    </font>
    <font>
      <u/>
      <sz val="9.9"/>
      <color theme="10"/>
      <name val="Calibri"/>
      <family val="2"/>
    </font>
    <font>
      <u/>
      <sz val="11"/>
      <color indexed="12"/>
      <name val="Calibri"/>
      <family val="2"/>
    </font>
    <font>
      <u/>
      <sz val="14"/>
      <color theme="10"/>
      <name val="Calibri"/>
      <family val="2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24">
    <xf numFmtId="0" fontId="0" fillId="0" borderId="0" xfId="0"/>
    <xf numFmtId="0" fontId="0" fillId="0" borderId="0" xfId="0" applyAlignment="1">
      <alignment vertical="center"/>
    </xf>
    <xf numFmtId="164" fontId="2" fillId="0" borderId="0" xfId="0" applyNumberFormat="1" applyFon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3" fillId="0" borderId="0" xfId="0" applyFont="1" applyAlignment="1">
      <alignment horizontal="left" vertical="center"/>
    </xf>
    <xf numFmtId="0" fontId="5" fillId="0" borderId="0" xfId="1" applyFont="1" applyFill="1" applyAlignment="1" applyProtection="1">
      <alignment vertical="center"/>
      <protection hidden="1"/>
    </xf>
    <xf numFmtId="164" fontId="0" fillId="0" borderId="0" xfId="0" applyNumberFormat="1" applyAlignment="1">
      <alignment horizontal="center" vertical="center"/>
    </xf>
    <xf numFmtId="0" fontId="6" fillId="0" borderId="0" xfId="1" applyFont="1" applyAlignment="1" applyProtection="1">
      <alignment vertical="center"/>
    </xf>
    <xf numFmtId="0" fontId="0" fillId="0" borderId="0" xfId="0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 indent="1"/>
      <protection hidden="1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/>
    </xf>
    <xf numFmtId="1" fontId="7" fillId="3" borderId="1" xfId="0" applyNumberFormat="1" applyFont="1" applyFill="1" applyBorder="1" applyAlignment="1" applyProtection="1">
      <alignment horizontal="center" vertical="center" shrinkToFit="1"/>
      <protection hidden="1"/>
    </xf>
    <xf numFmtId="0" fontId="7" fillId="3" borderId="2" xfId="0" applyFont="1" applyFill="1" applyBorder="1" applyAlignment="1" applyProtection="1">
      <alignment horizontal="center" vertical="center"/>
      <protection hidden="1"/>
    </xf>
    <xf numFmtId="0" fontId="7" fillId="3" borderId="4" xfId="0" applyFont="1" applyFill="1" applyBorder="1" applyAlignment="1" applyProtection="1">
      <alignment horizontal="center" vertical="center"/>
      <protection hidden="1"/>
    </xf>
    <xf numFmtId="0" fontId="0" fillId="0" borderId="11" xfId="0" applyFill="1" applyBorder="1" applyAlignment="1">
      <alignment horizontal="center" vertical="center"/>
    </xf>
    <xf numFmtId="1" fontId="0" fillId="0" borderId="5" xfId="0" applyNumberFormat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left" vertical="center" indent="1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6" xfId="0" applyFill="1" applyBorder="1" applyAlignment="1" applyProtection="1">
      <alignment horizontal="center" vertical="center"/>
      <protection hidden="1"/>
    </xf>
    <xf numFmtId="166" fontId="0" fillId="0" borderId="12" xfId="0" applyNumberFormat="1" applyFill="1" applyBorder="1" applyAlignment="1" applyProtection="1">
      <alignment horizontal="right" vertical="center" indent="1"/>
      <protection hidden="1"/>
    </xf>
    <xf numFmtId="1" fontId="0" fillId="0" borderId="13" xfId="0" applyNumberFormat="1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left" vertical="center" indent="1"/>
      <protection hidden="1"/>
    </xf>
    <xf numFmtId="0" fontId="0" fillId="0" borderId="14" xfId="0" applyFill="1" applyBorder="1" applyAlignment="1" applyProtection="1">
      <alignment vertical="center"/>
      <protection hidden="1"/>
    </xf>
    <xf numFmtId="0" fontId="0" fillId="0" borderId="14" xfId="0" applyFill="1" applyBorder="1" applyAlignment="1" applyProtection="1">
      <alignment horizontal="center" vertical="center"/>
      <protection hidden="1"/>
    </xf>
    <xf numFmtId="166" fontId="0" fillId="0" borderId="15" xfId="0" applyNumberFormat="1" applyFill="1" applyBorder="1" applyAlignment="1" applyProtection="1">
      <alignment horizontal="right" vertical="center" indent="1"/>
      <protection hidden="1"/>
    </xf>
    <xf numFmtId="164" fontId="0" fillId="0" borderId="13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7" fillId="3" borderId="2" xfId="0" applyFont="1" applyFill="1" applyBorder="1" applyAlignment="1" applyProtection="1">
      <alignment horizontal="left" vertical="center" indent="1"/>
      <protection hidden="1"/>
    </xf>
    <xf numFmtId="1" fontId="0" fillId="0" borderId="0" xfId="0" applyNumberFormat="1" applyAlignment="1">
      <alignment horizontal="left" vertical="center"/>
    </xf>
    <xf numFmtId="1" fontId="0" fillId="0" borderId="0" xfId="0" applyNumberFormat="1" applyAlignment="1" applyProtection="1">
      <alignment horizontal="left" vertical="center"/>
      <protection hidden="1"/>
    </xf>
    <xf numFmtId="0" fontId="7" fillId="3" borderId="6" xfId="0" applyFont="1" applyFill="1" applyBorder="1" applyAlignment="1" applyProtection="1">
      <alignment horizontal="center" vertical="center"/>
      <protection hidden="1"/>
    </xf>
    <xf numFmtId="0" fontId="7" fillId="3" borderId="8" xfId="0" applyFont="1" applyFill="1" applyBorder="1" applyAlignment="1" applyProtection="1">
      <alignment horizontal="center" vertical="center"/>
      <protection hidden="1"/>
    </xf>
    <xf numFmtId="1" fontId="0" fillId="0" borderId="6" xfId="0" applyNumberFormat="1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left" vertical="center" indent="1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vertical="center"/>
      <protection hidden="1"/>
    </xf>
    <xf numFmtId="166" fontId="0" fillId="0" borderId="6" xfId="0" applyNumberFormat="1" applyFill="1" applyBorder="1" applyAlignment="1" applyProtection="1">
      <alignment horizontal="right" vertical="center" indent="1"/>
      <protection hidden="1"/>
    </xf>
    <xf numFmtId="0" fontId="0" fillId="0" borderId="11" xfId="0" applyBorder="1" applyAlignment="1" applyProtection="1">
      <alignment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164" fontId="1" fillId="2" borderId="2" xfId="0" applyNumberFormat="1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0" fontId="0" fillId="0" borderId="6" xfId="0" applyFill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2" xfId="0" applyFill="1" applyBorder="1" applyAlignment="1" applyProtection="1">
      <alignment horizontal="center" vertical="center"/>
      <protection hidden="1"/>
    </xf>
    <xf numFmtId="0" fontId="0" fillId="0" borderId="12" xfId="0" applyFill="1" applyBorder="1" applyAlignment="1" applyProtection="1">
      <alignment horizontal="center" vertical="center" wrapText="1"/>
      <protection hidden="1"/>
    </xf>
    <xf numFmtId="164" fontId="0" fillId="0" borderId="14" xfId="0" applyNumberFormat="1" applyBorder="1" applyAlignment="1">
      <alignment horizontal="center" vertical="center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14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1" fontId="0" fillId="0" borderId="6" xfId="0" applyNumberFormat="1" applyFill="1" applyBorder="1" applyAlignment="1" applyProtection="1">
      <alignment horizontal="center" vertical="center"/>
      <protection hidden="1"/>
    </xf>
    <xf numFmtId="164" fontId="1" fillId="0" borderId="14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vertical="center"/>
    </xf>
    <xf numFmtId="0" fontId="1" fillId="0" borderId="14" xfId="0" applyFont="1" applyBorder="1" applyAlignment="1" applyProtection="1">
      <alignment horizontal="center" vertical="center"/>
      <protection hidden="1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left" vertical="center" indent="1"/>
    </xf>
    <xf numFmtId="168" fontId="0" fillId="0" borderId="6" xfId="0" applyNumberFormat="1" applyFill="1" applyBorder="1" applyAlignment="1" applyProtection="1">
      <alignment vertical="center"/>
      <protection hidden="1"/>
    </xf>
    <xf numFmtId="169" fontId="0" fillId="0" borderId="6" xfId="0" applyNumberFormat="1" applyFill="1" applyBorder="1" applyAlignment="1" applyProtection="1">
      <alignment vertical="center"/>
      <protection hidden="1"/>
    </xf>
    <xf numFmtId="171" fontId="0" fillId="0" borderId="6" xfId="0" applyNumberFormat="1" applyBorder="1" applyAlignment="1" applyProtection="1">
      <alignment vertical="center"/>
      <protection hidden="1"/>
    </xf>
    <xf numFmtId="167" fontId="0" fillId="0" borderId="0" xfId="0" applyNumberFormat="1" applyAlignment="1">
      <alignment vertical="center"/>
    </xf>
    <xf numFmtId="0" fontId="1" fillId="0" borderId="0" xfId="0" applyFont="1" applyAlignment="1">
      <alignment horizontal="left" vertical="center" indent="1"/>
    </xf>
    <xf numFmtId="168" fontId="0" fillId="0" borderId="0" xfId="0" applyNumberFormat="1" applyFill="1" applyBorder="1" applyAlignment="1">
      <alignment vertical="center"/>
    </xf>
    <xf numFmtId="169" fontId="0" fillId="0" borderId="0" xfId="0" applyNumberFormat="1" applyFill="1" applyBorder="1" applyAlignment="1">
      <alignment vertical="center"/>
    </xf>
    <xf numFmtId="167" fontId="0" fillId="0" borderId="9" xfId="0" applyNumberFormat="1" applyBorder="1" applyAlignment="1" applyProtection="1">
      <alignment vertical="center"/>
      <protection hidden="1"/>
    </xf>
    <xf numFmtId="171" fontId="0" fillId="0" borderId="7" xfId="0" applyNumberFormat="1" applyBorder="1" applyAlignment="1" applyProtection="1">
      <alignment vertical="center"/>
      <protection hidden="1"/>
    </xf>
    <xf numFmtId="167" fontId="7" fillId="3" borderId="30" xfId="0" applyNumberFormat="1" applyFont="1" applyFill="1" applyBorder="1" applyAlignment="1">
      <alignment horizontal="center" vertical="center" shrinkToFit="1"/>
    </xf>
    <xf numFmtId="0" fontId="7" fillId="3" borderId="20" xfId="0" applyFont="1" applyFill="1" applyBorder="1" applyAlignment="1">
      <alignment horizontal="center" vertical="center"/>
    </xf>
    <xf numFmtId="166" fontId="1" fillId="3" borderId="20" xfId="0" applyNumberFormat="1" applyFont="1" applyFill="1" applyBorder="1" applyAlignment="1">
      <alignment horizontal="center" vertical="center"/>
    </xf>
    <xf numFmtId="168" fontId="1" fillId="3" borderId="20" xfId="0" applyNumberFormat="1" applyFont="1" applyFill="1" applyBorder="1" applyAlignment="1">
      <alignment horizontal="center" vertical="center"/>
    </xf>
    <xf numFmtId="169" fontId="1" fillId="3" borderId="20" xfId="0" applyNumberFormat="1" applyFont="1" applyFill="1" applyBorder="1" applyAlignment="1">
      <alignment horizontal="center" vertical="center"/>
    </xf>
    <xf numFmtId="170" fontId="1" fillId="3" borderId="20" xfId="0" applyNumberFormat="1" applyFont="1" applyFill="1" applyBorder="1" applyAlignment="1">
      <alignment horizontal="center" vertical="center"/>
    </xf>
    <xf numFmtId="170" fontId="1" fillId="3" borderId="31" xfId="0" applyNumberFormat="1" applyFont="1" applyFill="1" applyBorder="1" applyAlignment="1">
      <alignment horizontal="center" vertical="center"/>
    </xf>
    <xf numFmtId="167" fontId="0" fillId="0" borderId="32" xfId="0" applyNumberFormat="1" applyBorder="1" applyAlignment="1" applyProtection="1">
      <alignment vertical="center"/>
      <protection hidden="1"/>
    </xf>
    <xf numFmtId="0" fontId="1" fillId="0" borderId="8" xfId="0" applyFont="1" applyBorder="1" applyAlignment="1">
      <alignment horizontal="left" vertical="center" indent="1"/>
    </xf>
    <xf numFmtId="0" fontId="0" fillId="0" borderId="8" xfId="0" applyBorder="1" applyAlignment="1" applyProtection="1">
      <alignment horizontal="left" vertical="center" indent="1"/>
      <protection hidden="1"/>
    </xf>
    <xf numFmtId="168" fontId="0" fillId="0" borderId="8" xfId="0" applyNumberFormat="1" applyFill="1" applyBorder="1" applyAlignment="1" applyProtection="1">
      <alignment vertical="center"/>
      <protection hidden="1"/>
    </xf>
    <xf numFmtId="169" fontId="0" fillId="0" borderId="8" xfId="0" applyNumberFormat="1" applyFill="1" applyBorder="1" applyAlignment="1" applyProtection="1">
      <alignment vertical="center"/>
      <protection hidden="1"/>
    </xf>
    <xf numFmtId="171" fontId="0" fillId="0" borderId="8" xfId="0" applyNumberFormat="1" applyBorder="1" applyAlignment="1" applyProtection="1">
      <alignment vertical="center"/>
      <protection hidden="1"/>
    </xf>
    <xf numFmtId="171" fontId="0" fillId="0" borderId="33" xfId="0" applyNumberFormat="1" applyBorder="1" applyAlignment="1" applyProtection="1">
      <alignment vertical="center"/>
      <protection hidden="1"/>
    </xf>
    <xf numFmtId="0" fontId="0" fillId="0" borderId="14" xfId="0" applyBorder="1" applyAlignment="1" applyProtection="1">
      <alignment horizontal="left" vertical="center" indent="1"/>
      <protection locked="0" hidden="1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indent="1"/>
      <protection locked="0" hidden="1"/>
    </xf>
    <xf numFmtId="0" fontId="1" fillId="2" borderId="21" xfId="0" applyFont="1" applyFill="1" applyBorder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</cellXfs>
  <cellStyles count="2">
    <cellStyle name="Hipervínculo" xfId="1" builtinId="8"/>
    <cellStyle name="Normal" xfId="0" builtinId="0"/>
  </cellStyles>
  <dxfs count="33">
    <dxf>
      <numFmt numFmtId="171" formatCode="#,##0.00\ ;[Red]\-#,##0.00\ ;0.00\ ;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71" formatCode="#,##0.00\ ;[Red]\-#,##0.00\ ;0.00\ ;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9" formatCode="\+0\ ;\-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numFmt numFmtId="168" formatCode="#,##0\ ;[Red]\-#,##0\ ;0\ 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#,##0\ ;[Red]\-#,##0\ ;;@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1"/>
    </dxf>
    <dxf>
      <border outline="0">
        <bottom style="thin">
          <color indexed="64"/>
        </bottom>
      </border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1190625</xdr:colOff>
          <xdr:row>1</xdr:row>
          <xdr:rowOff>47625</xdr:rowOff>
        </xdr:from>
        <xdr:to>
          <xdr:col>21</xdr:col>
          <xdr:colOff>123825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 Campeonato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247650</xdr:colOff>
          <xdr:row>1</xdr:row>
          <xdr:rowOff>19050</xdr:rowOff>
        </xdr:from>
        <xdr:to>
          <xdr:col>22</xdr:col>
          <xdr:colOff>581025</xdr:colOff>
          <xdr:row>3</xdr:row>
          <xdr:rowOff>114300</xdr:rowOff>
        </xdr:to>
        <xdr:sp macro="" textlink="">
          <xdr:nvSpPr>
            <xdr:cNvPr id="1026" name="Button 1" descr="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General" displayName="tblGeneral" ref="A2:L34" totalsRowShown="0" dataDxfId="14" headerRowBorderDxfId="15" tableBorderDxfId="13" totalsRowBorderDxfId="12">
  <sortState xmlns:xlrd2="http://schemas.microsoft.com/office/spreadsheetml/2017/richdata2" ref="A3:L34">
    <sortCondition ref="A3:A34"/>
  </sortState>
  <tableColumns count="12">
    <tableColumn id="1" xr3:uid="{00000000-0010-0000-0000-000001000000}" name="Posición" dataDxfId="11">
      <calculatedColumnFormula>IF($D3=0,"",IF(COUNTIF(TablaJuegos!$M$72:$M$87,$B3),IF(INDEX(TablaJuegos!$L$72:$L$87,MATCH($B3,TablaJuegos!$M$72:$M$87,0))="","",(INDEX(TablaJuegos!$L$72:$L$87,MATCH($B3,TablaJuegos!$M$72:$M$87,0)))),(IF(LEFT(C3,1)&lt;&gt;"P","",(SUMPRODUCT((((LOOKUP(LEFT(C3,1),{"C",1000;"F",8000;"O",500;"P",100;"S",3000}))*10000+100*D3*E3+30*H3-20*I3+J3)&lt;(10000*((LOOKUP(LEFT(C$3:C$34,1),{"C",1000;"F",8000;"O",500;"P",100;"S",3000})))+100*(D$3:D$34)*(E$3:E$34)+30*(H$3:H$34)-20*(I$3:I$34)+(J$3:J$34)))+0)+1)))))</calculatedColumnFormula>
    </tableColumn>
    <tableColumn id="2" xr3:uid="{00000000-0010-0000-0000-000002000000}" name="EQUIPO" dataDxfId="10"/>
    <tableColumn id="3" xr3:uid="{00000000-0010-0000-0000-000003000000}" name="RONDA" dataDxfId="9">
      <calculatedColumnFormula>IF(COUNTIF(TablaJuegos!$M$111:$M$112,$B3)=1,"Final",IF(COUNTIF(TablaJuegos!$M$100:$M$103,$B3)=1,"SemiFinal",IF(COUNTIF(TablaJuegos!$M$90:$M$97,$B3)=1,"Cuartos de Final",IF(COUNTIF(TablaJuegos!$M$72:$M$87,$B3)=1,"Octavos de Final","Primera Ronda"))))</calculatedColumnFormula>
    </tableColumn>
    <tableColumn id="4" xr3:uid="{00000000-0010-0000-0000-000004000000}" name="J" dataDxfId="8">
      <calculatedColumnFormula>SUMIF(TablaJuegos!$M$9:$M$112,$B3,TablaJuegos!O$9:O$112)</calculatedColumnFormula>
    </tableColumn>
    <tableColumn id="5" xr3:uid="{00000000-0010-0000-0000-000005000000}" name="G" dataDxfId="7">
      <calculatedColumnFormula>SUMIF(TablaJuegos!$M$9:$M$112,$B3,TablaJuegos!P$9:P$112)</calculatedColumnFormula>
    </tableColumn>
    <tableColumn id="6" xr3:uid="{00000000-0010-0000-0000-000006000000}" name="E" dataDxfId="6">
      <calculatedColumnFormula>SUMIF(TablaJuegos!$M$9:$M$112,$B3,TablaJuegos!Q$9:Q$112)</calculatedColumnFormula>
    </tableColumn>
    <tableColumn id="7" xr3:uid="{00000000-0010-0000-0000-000007000000}" name="P" dataDxfId="5">
      <calculatedColumnFormula>SUMIF(TablaJuegos!$M$9:$M$112,$B3,TablaJuegos!R$9:R$112)</calculatedColumnFormula>
    </tableColumn>
    <tableColumn id="8" xr3:uid="{00000000-0010-0000-0000-000008000000}" name="GF" dataDxfId="4">
      <calculatedColumnFormula>SUMIF(TablaJuegos!$M$9:$M$112,$B3,TablaJuegos!S$9:S$112)</calculatedColumnFormula>
    </tableColumn>
    <tableColumn id="9" xr3:uid="{00000000-0010-0000-0000-000009000000}" name="GC" dataDxfId="3">
      <calculatedColumnFormula>SUMIF(TablaJuegos!$M$9:$M$112,$B3,TablaJuegos!T$9:T$112)</calculatedColumnFormula>
    </tableColumn>
    <tableColumn id="10" xr3:uid="{00000000-0010-0000-0000-00000A000000}" name="D" dataDxfId="2">
      <calculatedColumnFormula>SUMIF(TablaJuegos!$M$9:$M$112,$B3,TablaJuegos!U$9:U$112)</calculatedColumnFormula>
    </tableColumn>
    <tableColumn id="11" xr3:uid="{00000000-0010-0000-0000-00000B000000}" name="GF/P" dataDxfId="1">
      <calculatedColumnFormula>IF($D3=0,0,H3/$D3)</calculatedColumnFormula>
    </tableColumn>
    <tableColumn id="12" xr3:uid="{00000000-0010-0000-0000-00000C000000}" name="GC/P" dataDxfId="0">
      <calculatedColumnFormula>IF($D3=0,0,I3/$D3)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ulasexcel.com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TablaJuegos"/>
  <dimension ref="B2:U117"/>
  <sheetViews>
    <sheetView tabSelected="1" zoomScale="98" zoomScaleNormal="98" workbookViewId="0">
      <pane xSplit="1" ySplit="5" topLeftCell="B6" activePane="bottomRight" state="frozen"/>
      <selection pane="topRight" activeCell="B1" sqref="B1"/>
      <selection pane="bottomLeft" activeCell="A6" sqref="A6"/>
      <selection pane="bottomRight"/>
    </sheetView>
  </sheetViews>
  <sheetFormatPr baseColWidth="10" defaultColWidth="9.140625" defaultRowHeight="15" x14ac:dyDescent="0.25"/>
  <cols>
    <col min="1" max="1" width="1.7109375" style="1" customWidth="1"/>
    <col min="2" max="2" width="7.28515625" style="9" customWidth="1"/>
    <col min="3" max="3" width="6.140625" style="3" customWidth="1"/>
    <col min="4" max="4" width="18.85546875" style="1" customWidth="1"/>
    <col min="5" max="5" width="20.7109375" style="4" bestFit="1" customWidth="1"/>
    <col min="6" max="9" width="3.7109375" style="4" customWidth="1"/>
    <col min="10" max="10" width="21" style="4" bestFit="1" customWidth="1"/>
    <col min="11" max="11" width="9.42578125" style="1" customWidth="1"/>
    <col min="12" max="12" width="5.7109375" style="5" customWidth="1"/>
    <col min="13" max="13" width="18.5703125" style="11" customWidth="1"/>
    <col min="14" max="14" width="3.7109375" style="6" customWidth="1"/>
    <col min="15" max="18" width="3.7109375" style="12" customWidth="1"/>
    <col min="19" max="20" width="3.7109375" style="6" customWidth="1"/>
    <col min="21" max="21" width="5.7109375" style="13" customWidth="1"/>
    <col min="22" max="256" width="9.140625" style="1"/>
    <col min="257" max="257" width="1.7109375" style="1" customWidth="1"/>
    <col min="258" max="258" width="7.28515625" style="1" customWidth="1"/>
    <col min="259" max="259" width="6.140625" style="1" customWidth="1"/>
    <col min="260" max="260" width="14.85546875" style="1" customWidth="1"/>
    <col min="261" max="261" width="20.7109375" style="1" bestFit="1" customWidth="1"/>
    <col min="262" max="265" width="3.7109375" style="1" customWidth="1"/>
    <col min="266" max="266" width="21" style="1" bestFit="1" customWidth="1"/>
    <col min="267" max="267" width="9.42578125" style="1" customWidth="1"/>
    <col min="268" max="268" width="5.7109375" style="1" customWidth="1"/>
    <col min="269" max="269" width="16.42578125" style="1" bestFit="1" customWidth="1"/>
    <col min="270" max="276" width="3.7109375" style="1" customWidth="1"/>
    <col min="277" max="277" width="5.7109375" style="1" customWidth="1"/>
    <col min="278" max="512" width="9.140625" style="1"/>
    <col min="513" max="513" width="1.7109375" style="1" customWidth="1"/>
    <col min="514" max="514" width="7.28515625" style="1" customWidth="1"/>
    <col min="515" max="515" width="6.140625" style="1" customWidth="1"/>
    <col min="516" max="516" width="14.85546875" style="1" customWidth="1"/>
    <col min="517" max="517" width="20.7109375" style="1" bestFit="1" customWidth="1"/>
    <col min="518" max="521" width="3.7109375" style="1" customWidth="1"/>
    <col min="522" max="522" width="21" style="1" bestFit="1" customWidth="1"/>
    <col min="523" max="523" width="9.42578125" style="1" customWidth="1"/>
    <col min="524" max="524" width="5.7109375" style="1" customWidth="1"/>
    <col min="525" max="525" width="16.42578125" style="1" bestFit="1" customWidth="1"/>
    <col min="526" max="532" width="3.7109375" style="1" customWidth="1"/>
    <col min="533" max="533" width="5.7109375" style="1" customWidth="1"/>
    <col min="534" max="768" width="9.140625" style="1"/>
    <col min="769" max="769" width="1.7109375" style="1" customWidth="1"/>
    <col min="770" max="770" width="7.28515625" style="1" customWidth="1"/>
    <col min="771" max="771" width="6.140625" style="1" customWidth="1"/>
    <col min="772" max="772" width="14.85546875" style="1" customWidth="1"/>
    <col min="773" max="773" width="20.7109375" style="1" bestFit="1" customWidth="1"/>
    <col min="774" max="777" width="3.7109375" style="1" customWidth="1"/>
    <col min="778" max="778" width="21" style="1" bestFit="1" customWidth="1"/>
    <col min="779" max="779" width="9.42578125" style="1" customWidth="1"/>
    <col min="780" max="780" width="5.7109375" style="1" customWidth="1"/>
    <col min="781" max="781" width="16.42578125" style="1" bestFit="1" customWidth="1"/>
    <col min="782" max="788" width="3.7109375" style="1" customWidth="1"/>
    <col min="789" max="789" width="5.7109375" style="1" customWidth="1"/>
    <col min="790" max="1024" width="9.140625" style="1"/>
    <col min="1025" max="1025" width="1.7109375" style="1" customWidth="1"/>
    <col min="1026" max="1026" width="7.28515625" style="1" customWidth="1"/>
    <col min="1027" max="1027" width="6.140625" style="1" customWidth="1"/>
    <col min="1028" max="1028" width="14.85546875" style="1" customWidth="1"/>
    <col min="1029" max="1029" width="20.7109375" style="1" bestFit="1" customWidth="1"/>
    <col min="1030" max="1033" width="3.7109375" style="1" customWidth="1"/>
    <col min="1034" max="1034" width="21" style="1" bestFit="1" customWidth="1"/>
    <col min="1035" max="1035" width="9.42578125" style="1" customWidth="1"/>
    <col min="1036" max="1036" width="5.7109375" style="1" customWidth="1"/>
    <col min="1037" max="1037" width="16.42578125" style="1" bestFit="1" customWidth="1"/>
    <col min="1038" max="1044" width="3.7109375" style="1" customWidth="1"/>
    <col min="1045" max="1045" width="5.7109375" style="1" customWidth="1"/>
    <col min="1046" max="1280" width="9.140625" style="1"/>
    <col min="1281" max="1281" width="1.7109375" style="1" customWidth="1"/>
    <col min="1282" max="1282" width="7.28515625" style="1" customWidth="1"/>
    <col min="1283" max="1283" width="6.140625" style="1" customWidth="1"/>
    <col min="1284" max="1284" width="14.85546875" style="1" customWidth="1"/>
    <col min="1285" max="1285" width="20.7109375" style="1" bestFit="1" customWidth="1"/>
    <col min="1286" max="1289" width="3.7109375" style="1" customWidth="1"/>
    <col min="1290" max="1290" width="21" style="1" bestFit="1" customWidth="1"/>
    <col min="1291" max="1291" width="9.42578125" style="1" customWidth="1"/>
    <col min="1292" max="1292" width="5.7109375" style="1" customWidth="1"/>
    <col min="1293" max="1293" width="16.42578125" style="1" bestFit="1" customWidth="1"/>
    <col min="1294" max="1300" width="3.7109375" style="1" customWidth="1"/>
    <col min="1301" max="1301" width="5.7109375" style="1" customWidth="1"/>
    <col min="1302" max="1536" width="9.140625" style="1"/>
    <col min="1537" max="1537" width="1.7109375" style="1" customWidth="1"/>
    <col min="1538" max="1538" width="7.28515625" style="1" customWidth="1"/>
    <col min="1539" max="1539" width="6.140625" style="1" customWidth="1"/>
    <col min="1540" max="1540" width="14.85546875" style="1" customWidth="1"/>
    <col min="1541" max="1541" width="20.7109375" style="1" bestFit="1" customWidth="1"/>
    <col min="1542" max="1545" width="3.7109375" style="1" customWidth="1"/>
    <col min="1546" max="1546" width="21" style="1" bestFit="1" customWidth="1"/>
    <col min="1547" max="1547" width="9.42578125" style="1" customWidth="1"/>
    <col min="1548" max="1548" width="5.7109375" style="1" customWidth="1"/>
    <col min="1549" max="1549" width="16.42578125" style="1" bestFit="1" customWidth="1"/>
    <col min="1550" max="1556" width="3.7109375" style="1" customWidth="1"/>
    <col min="1557" max="1557" width="5.7109375" style="1" customWidth="1"/>
    <col min="1558" max="1792" width="9.140625" style="1"/>
    <col min="1793" max="1793" width="1.7109375" style="1" customWidth="1"/>
    <col min="1794" max="1794" width="7.28515625" style="1" customWidth="1"/>
    <col min="1795" max="1795" width="6.140625" style="1" customWidth="1"/>
    <col min="1796" max="1796" width="14.85546875" style="1" customWidth="1"/>
    <col min="1797" max="1797" width="20.7109375" style="1" bestFit="1" customWidth="1"/>
    <col min="1798" max="1801" width="3.7109375" style="1" customWidth="1"/>
    <col min="1802" max="1802" width="21" style="1" bestFit="1" customWidth="1"/>
    <col min="1803" max="1803" width="9.42578125" style="1" customWidth="1"/>
    <col min="1804" max="1804" width="5.7109375" style="1" customWidth="1"/>
    <col min="1805" max="1805" width="16.42578125" style="1" bestFit="1" customWidth="1"/>
    <col min="1806" max="1812" width="3.7109375" style="1" customWidth="1"/>
    <col min="1813" max="1813" width="5.7109375" style="1" customWidth="1"/>
    <col min="1814" max="2048" width="9.140625" style="1"/>
    <col min="2049" max="2049" width="1.7109375" style="1" customWidth="1"/>
    <col min="2050" max="2050" width="7.28515625" style="1" customWidth="1"/>
    <col min="2051" max="2051" width="6.140625" style="1" customWidth="1"/>
    <col min="2052" max="2052" width="14.85546875" style="1" customWidth="1"/>
    <col min="2053" max="2053" width="20.7109375" style="1" bestFit="1" customWidth="1"/>
    <col min="2054" max="2057" width="3.7109375" style="1" customWidth="1"/>
    <col min="2058" max="2058" width="21" style="1" bestFit="1" customWidth="1"/>
    <col min="2059" max="2059" width="9.42578125" style="1" customWidth="1"/>
    <col min="2060" max="2060" width="5.7109375" style="1" customWidth="1"/>
    <col min="2061" max="2061" width="16.42578125" style="1" bestFit="1" customWidth="1"/>
    <col min="2062" max="2068" width="3.7109375" style="1" customWidth="1"/>
    <col min="2069" max="2069" width="5.7109375" style="1" customWidth="1"/>
    <col min="2070" max="2304" width="9.140625" style="1"/>
    <col min="2305" max="2305" width="1.7109375" style="1" customWidth="1"/>
    <col min="2306" max="2306" width="7.28515625" style="1" customWidth="1"/>
    <col min="2307" max="2307" width="6.140625" style="1" customWidth="1"/>
    <col min="2308" max="2308" width="14.85546875" style="1" customWidth="1"/>
    <col min="2309" max="2309" width="20.7109375" style="1" bestFit="1" customWidth="1"/>
    <col min="2310" max="2313" width="3.7109375" style="1" customWidth="1"/>
    <col min="2314" max="2314" width="21" style="1" bestFit="1" customWidth="1"/>
    <col min="2315" max="2315" width="9.42578125" style="1" customWidth="1"/>
    <col min="2316" max="2316" width="5.7109375" style="1" customWidth="1"/>
    <col min="2317" max="2317" width="16.42578125" style="1" bestFit="1" customWidth="1"/>
    <col min="2318" max="2324" width="3.7109375" style="1" customWidth="1"/>
    <col min="2325" max="2325" width="5.7109375" style="1" customWidth="1"/>
    <col min="2326" max="2560" width="9.140625" style="1"/>
    <col min="2561" max="2561" width="1.7109375" style="1" customWidth="1"/>
    <col min="2562" max="2562" width="7.28515625" style="1" customWidth="1"/>
    <col min="2563" max="2563" width="6.140625" style="1" customWidth="1"/>
    <col min="2564" max="2564" width="14.85546875" style="1" customWidth="1"/>
    <col min="2565" max="2565" width="20.7109375" style="1" bestFit="1" customWidth="1"/>
    <col min="2566" max="2569" width="3.7109375" style="1" customWidth="1"/>
    <col min="2570" max="2570" width="21" style="1" bestFit="1" customWidth="1"/>
    <col min="2571" max="2571" width="9.42578125" style="1" customWidth="1"/>
    <col min="2572" max="2572" width="5.7109375" style="1" customWidth="1"/>
    <col min="2573" max="2573" width="16.42578125" style="1" bestFit="1" customWidth="1"/>
    <col min="2574" max="2580" width="3.7109375" style="1" customWidth="1"/>
    <col min="2581" max="2581" width="5.7109375" style="1" customWidth="1"/>
    <col min="2582" max="2816" width="9.140625" style="1"/>
    <col min="2817" max="2817" width="1.7109375" style="1" customWidth="1"/>
    <col min="2818" max="2818" width="7.28515625" style="1" customWidth="1"/>
    <col min="2819" max="2819" width="6.140625" style="1" customWidth="1"/>
    <col min="2820" max="2820" width="14.85546875" style="1" customWidth="1"/>
    <col min="2821" max="2821" width="20.7109375" style="1" bestFit="1" customWidth="1"/>
    <col min="2822" max="2825" width="3.7109375" style="1" customWidth="1"/>
    <col min="2826" max="2826" width="21" style="1" bestFit="1" customWidth="1"/>
    <col min="2827" max="2827" width="9.42578125" style="1" customWidth="1"/>
    <col min="2828" max="2828" width="5.7109375" style="1" customWidth="1"/>
    <col min="2829" max="2829" width="16.42578125" style="1" bestFit="1" customWidth="1"/>
    <col min="2830" max="2836" width="3.7109375" style="1" customWidth="1"/>
    <col min="2837" max="2837" width="5.7109375" style="1" customWidth="1"/>
    <col min="2838" max="3072" width="9.140625" style="1"/>
    <col min="3073" max="3073" width="1.7109375" style="1" customWidth="1"/>
    <col min="3074" max="3074" width="7.28515625" style="1" customWidth="1"/>
    <col min="3075" max="3075" width="6.140625" style="1" customWidth="1"/>
    <col min="3076" max="3076" width="14.85546875" style="1" customWidth="1"/>
    <col min="3077" max="3077" width="20.7109375" style="1" bestFit="1" customWidth="1"/>
    <col min="3078" max="3081" width="3.7109375" style="1" customWidth="1"/>
    <col min="3082" max="3082" width="21" style="1" bestFit="1" customWidth="1"/>
    <col min="3083" max="3083" width="9.42578125" style="1" customWidth="1"/>
    <col min="3084" max="3084" width="5.7109375" style="1" customWidth="1"/>
    <col min="3085" max="3085" width="16.42578125" style="1" bestFit="1" customWidth="1"/>
    <col min="3086" max="3092" width="3.7109375" style="1" customWidth="1"/>
    <col min="3093" max="3093" width="5.7109375" style="1" customWidth="1"/>
    <col min="3094" max="3328" width="9.140625" style="1"/>
    <col min="3329" max="3329" width="1.7109375" style="1" customWidth="1"/>
    <col min="3330" max="3330" width="7.28515625" style="1" customWidth="1"/>
    <col min="3331" max="3331" width="6.140625" style="1" customWidth="1"/>
    <col min="3332" max="3332" width="14.85546875" style="1" customWidth="1"/>
    <col min="3333" max="3333" width="20.7109375" style="1" bestFit="1" customWidth="1"/>
    <col min="3334" max="3337" width="3.7109375" style="1" customWidth="1"/>
    <col min="3338" max="3338" width="21" style="1" bestFit="1" customWidth="1"/>
    <col min="3339" max="3339" width="9.42578125" style="1" customWidth="1"/>
    <col min="3340" max="3340" width="5.7109375" style="1" customWidth="1"/>
    <col min="3341" max="3341" width="16.42578125" style="1" bestFit="1" customWidth="1"/>
    <col min="3342" max="3348" width="3.7109375" style="1" customWidth="1"/>
    <col min="3349" max="3349" width="5.7109375" style="1" customWidth="1"/>
    <col min="3350" max="3584" width="9.140625" style="1"/>
    <col min="3585" max="3585" width="1.7109375" style="1" customWidth="1"/>
    <col min="3586" max="3586" width="7.28515625" style="1" customWidth="1"/>
    <col min="3587" max="3587" width="6.140625" style="1" customWidth="1"/>
    <col min="3588" max="3588" width="14.85546875" style="1" customWidth="1"/>
    <col min="3589" max="3589" width="20.7109375" style="1" bestFit="1" customWidth="1"/>
    <col min="3590" max="3593" width="3.7109375" style="1" customWidth="1"/>
    <col min="3594" max="3594" width="21" style="1" bestFit="1" customWidth="1"/>
    <col min="3595" max="3595" width="9.42578125" style="1" customWidth="1"/>
    <col min="3596" max="3596" width="5.7109375" style="1" customWidth="1"/>
    <col min="3597" max="3597" width="16.42578125" style="1" bestFit="1" customWidth="1"/>
    <col min="3598" max="3604" width="3.7109375" style="1" customWidth="1"/>
    <col min="3605" max="3605" width="5.7109375" style="1" customWidth="1"/>
    <col min="3606" max="3840" width="9.140625" style="1"/>
    <col min="3841" max="3841" width="1.7109375" style="1" customWidth="1"/>
    <col min="3842" max="3842" width="7.28515625" style="1" customWidth="1"/>
    <col min="3843" max="3843" width="6.140625" style="1" customWidth="1"/>
    <col min="3844" max="3844" width="14.85546875" style="1" customWidth="1"/>
    <col min="3845" max="3845" width="20.7109375" style="1" bestFit="1" customWidth="1"/>
    <col min="3846" max="3849" width="3.7109375" style="1" customWidth="1"/>
    <col min="3850" max="3850" width="21" style="1" bestFit="1" customWidth="1"/>
    <col min="3851" max="3851" width="9.42578125" style="1" customWidth="1"/>
    <col min="3852" max="3852" width="5.7109375" style="1" customWidth="1"/>
    <col min="3853" max="3853" width="16.42578125" style="1" bestFit="1" customWidth="1"/>
    <col min="3854" max="3860" width="3.7109375" style="1" customWidth="1"/>
    <col min="3861" max="3861" width="5.7109375" style="1" customWidth="1"/>
    <col min="3862" max="4096" width="9.140625" style="1"/>
    <col min="4097" max="4097" width="1.7109375" style="1" customWidth="1"/>
    <col min="4098" max="4098" width="7.28515625" style="1" customWidth="1"/>
    <col min="4099" max="4099" width="6.140625" style="1" customWidth="1"/>
    <col min="4100" max="4100" width="14.85546875" style="1" customWidth="1"/>
    <col min="4101" max="4101" width="20.7109375" style="1" bestFit="1" customWidth="1"/>
    <col min="4102" max="4105" width="3.7109375" style="1" customWidth="1"/>
    <col min="4106" max="4106" width="21" style="1" bestFit="1" customWidth="1"/>
    <col min="4107" max="4107" width="9.42578125" style="1" customWidth="1"/>
    <col min="4108" max="4108" width="5.7109375" style="1" customWidth="1"/>
    <col min="4109" max="4109" width="16.42578125" style="1" bestFit="1" customWidth="1"/>
    <col min="4110" max="4116" width="3.7109375" style="1" customWidth="1"/>
    <col min="4117" max="4117" width="5.7109375" style="1" customWidth="1"/>
    <col min="4118" max="4352" width="9.140625" style="1"/>
    <col min="4353" max="4353" width="1.7109375" style="1" customWidth="1"/>
    <col min="4354" max="4354" width="7.28515625" style="1" customWidth="1"/>
    <col min="4355" max="4355" width="6.140625" style="1" customWidth="1"/>
    <col min="4356" max="4356" width="14.85546875" style="1" customWidth="1"/>
    <col min="4357" max="4357" width="20.7109375" style="1" bestFit="1" customWidth="1"/>
    <col min="4358" max="4361" width="3.7109375" style="1" customWidth="1"/>
    <col min="4362" max="4362" width="21" style="1" bestFit="1" customWidth="1"/>
    <col min="4363" max="4363" width="9.42578125" style="1" customWidth="1"/>
    <col min="4364" max="4364" width="5.7109375" style="1" customWidth="1"/>
    <col min="4365" max="4365" width="16.42578125" style="1" bestFit="1" customWidth="1"/>
    <col min="4366" max="4372" width="3.7109375" style="1" customWidth="1"/>
    <col min="4373" max="4373" width="5.7109375" style="1" customWidth="1"/>
    <col min="4374" max="4608" width="9.140625" style="1"/>
    <col min="4609" max="4609" width="1.7109375" style="1" customWidth="1"/>
    <col min="4610" max="4610" width="7.28515625" style="1" customWidth="1"/>
    <col min="4611" max="4611" width="6.140625" style="1" customWidth="1"/>
    <col min="4612" max="4612" width="14.85546875" style="1" customWidth="1"/>
    <col min="4613" max="4613" width="20.7109375" style="1" bestFit="1" customWidth="1"/>
    <col min="4614" max="4617" width="3.7109375" style="1" customWidth="1"/>
    <col min="4618" max="4618" width="21" style="1" bestFit="1" customWidth="1"/>
    <col min="4619" max="4619" width="9.42578125" style="1" customWidth="1"/>
    <col min="4620" max="4620" width="5.7109375" style="1" customWidth="1"/>
    <col min="4621" max="4621" width="16.42578125" style="1" bestFit="1" customWidth="1"/>
    <col min="4622" max="4628" width="3.7109375" style="1" customWidth="1"/>
    <col min="4629" max="4629" width="5.7109375" style="1" customWidth="1"/>
    <col min="4630" max="4864" width="9.140625" style="1"/>
    <col min="4865" max="4865" width="1.7109375" style="1" customWidth="1"/>
    <col min="4866" max="4866" width="7.28515625" style="1" customWidth="1"/>
    <col min="4867" max="4867" width="6.140625" style="1" customWidth="1"/>
    <col min="4868" max="4868" width="14.85546875" style="1" customWidth="1"/>
    <col min="4869" max="4869" width="20.7109375" style="1" bestFit="1" customWidth="1"/>
    <col min="4870" max="4873" width="3.7109375" style="1" customWidth="1"/>
    <col min="4874" max="4874" width="21" style="1" bestFit="1" customWidth="1"/>
    <col min="4875" max="4875" width="9.42578125" style="1" customWidth="1"/>
    <col min="4876" max="4876" width="5.7109375" style="1" customWidth="1"/>
    <col min="4877" max="4877" width="16.42578125" style="1" bestFit="1" customWidth="1"/>
    <col min="4878" max="4884" width="3.7109375" style="1" customWidth="1"/>
    <col min="4885" max="4885" width="5.7109375" style="1" customWidth="1"/>
    <col min="4886" max="5120" width="9.140625" style="1"/>
    <col min="5121" max="5121" width="1.7109375" style="1" customWidth="1"/>
    <col min="5122" max="5122" width="7.28515625" style="1" customWidth="1"/>
    <col min="5123" max="5123" width="6.140625" style="1" customWidth="1"/>
    <col min="5124" max="5124" width="14.85546875" style="1" customWidth="1"/>
    <col min="5125" max="5125" width="20.7109375" style="1" bestFit="1" customWidth="1"/>
    <col min="5126" max="5129" width="3.7109375" style="1" customWidth="1"/>
    <col min="5130" max="5130" width="21" style="1" bestFit="1" customWidth="1"/>
    <col min="5131" max="5131" width="9.42578125" style="1" customWidth="1"/>
    <col min="5132" max="5132" width="5.7109375" style="1" customWidth="1"/>
    <col min="5133" max="5133" width="16.42578125" style="1" bestFit="1" customWidth="1"/>
    <col min="5134" max="5140" width="3.7109375" style="1" customWidth="1"/>
    <col min="5141" max="5141" width="5.7109375" style="1" customWidth="1"/>
    <col min="5142" max="5376" width="9.140625" style="1"/>
    <col min="5377" max="5377" width="1.7109375" style="1" customWidth="1"/>
    <col min="5378" max="5378" width="7.28515625" style="1" customWidth="1"/>
    <col min="5379" max="5379" width="6.140625" style="1" customWidth="1"/>
    <col min="5380" max="5380" width="14.85546875" style="1" customWidth="1"/>
    <col min="5381" max="5381" width="20.7109375" style="1" bestFit="1" customWidth="1"/>
    <col min="5382" max="5385" width="3.7109375" style="1" customWidth="1"/>
    <col min="5386" max="5386" width="21" style="1" bestFit="1" customWidth="1"/>
    <col min="5387" max="5387" width="9.42578125" style="1" customWidth="1"/>
    <col min="5388" max="5388" width="5.7109375" style="1" customWidth="1"/>
    <col min="5389" max="5389" width="16.42578125" style="1" bestFit="1" customWidth="1"/>
    <col min="5390" max="5396" width="3.7109375" style="1" customWidth="1"/>
    <col min="5397" max="5397" width="5.7109375" style="1" customWidth="1"/>
    <col min="5398" max="5632" width="9.140625" style="1"/>
    <col min="5633" max="5633" width="1.7109375" style="1" customWidth="1"/>
    <col min="5634" max="5634" width="7.28515625" style="1" customWidth="1"/>
    <col min="5635" max="5635" width="6.140625" style="1" customWidth="1"/>
    <col min="5636" max="5636" width="14.85546875" style="1" customWidth="1"/>
    <col min="5637" max="5637" width="20.7109375" style="1" bestFit="1" customWidth="1"/>
    <col min="5638" max="5641" width="3.7109375" style="1" customWidth="1"/>
    <col min="5642" max="5642" width="21" style="1" bestFit="1" customWidth="1"/>
    <col min="5643" max="5643" width="9.42578125" style="1" customWidth="1"/>
    <col min="5644" max="5644" width="5.7109375" style="1" customWidth="1"/>
    <col min="5645" max="5645" width="16.42578125" style="1" bestFit="1" customWidth="1"/>
    <col min="5646" max="5652" width="3.7109375" style="1" customWidth="1"/>
    <col min="5653" max="5653" width="5.7109375" style="1" customWidth="1"/>
    <col min="5654" max="5888" width="9.140625" style="1"/>
    <col min="5889" max="5889" width="1.7109375" style="1" customWidth="1"/>
    <col min="5890" max="5890" width="7.28515625" style="1" customWidth="1"/>
    <col min="5891" max="5891" width="6.140625" style="1" customWidth="1"/>
    <col min="5892" max="5892" width="14.85546875" style="1" customWidth="1"/>
    <col min="5893" max="5893" width="20.7109375" style="1" bestFit="1" customWidth="1"/>
    <col min="5894" max="5897" width="3.7109375" style="1" customWidth="1"/>
    <col min="5898" max="5898" width="21" style="1" bestFit="1" customWidth="1"/>
    <col min="5899" max="5899" width="9.42578125" style="1" customWidth="1"/>
    <col min="5900" max="5900" width="5.7109375" style="1" customWidth="1"/>
    <col min="5901" max="5901" width="16.42578125" style="1" bestFit="1" customWidth="1"/>
    <col min="5902" max="5908" width="3.7109375" style="1" customWidth="1"/>
    <col min="5909" max="5909" width="5.7109375" style="1" customWidth="1"/>
    <col min="5910" max="6144" width="9.140625" style="1"/>
    <col min="6145" max="6145" width="1.7109375" style="1" customWidth="1"/>
    <col min="6146" max="6146" width="7.28515625" style="1" customWidth="1"/>
    <col min="6147" max="6147" width="6.140625" style="1" customWidth="1"/>
    <col min="6148" max="6148" width="14.85546875" style="1" customWidth="1"/>
    <col min="6149" max="6149" width="20.7109375" style="1" bestFit="1" customWidth="1"/>
    <col min="6150" max="6153" width="3.7109375" style="1" customWidth="1"/>
    <col min="6154" max="6154" width="21" style="1" bestFit="1" customWidth="1"/>
    <col min="6155" max="6155" width="9.42578125" style="1" customWidth="1"/>
    <col min="6156" max="6156" width="5.7109375" style="1" customWidth="1"/>
    <col min="6157" max="6157" width="16.42578125" style="1" bestFit="1" customWidth="1"/>
    <col min="6158" max="6164" width="3.7109375" style="1" customWidth="1"/>
    <col min="6165" max="6165" width="5.7109375" style="1" customWidth="1"/>
    <col min="6166" max="6400" width="9.140625" style="1"/>
    <col min="6401" max="6401" width="1.7109375" style="1" customWidth="1"/>
    <col min="6402" max="6402" width="7.28515625" style="1" customWidth="1"/>
    <col min="6403" max="6403" width="6.140625" style="1" customWidth="1"/>
    <col min="6404" max="6404" width="14.85546875" style="1" customWidth="1"/>
    <col min="6405" max="6405" width="20.7109375" style="1" bestFit="1" customWidth="1"/>
    <col min="6406" max="6409" width="3.7109375" style="1" customWidth="1"/>
    <col min="6410" max="6410" width="21" style="1" bestFit="1" customWidth="1"/>
    <col min="6411" max="6411" width="9.42578125" style="1" customWidth="1"/>
    <col min="6412" max="6412" width="5.7109375" style="1" customWidth="1"/>
    <col min="6413" max="6413" width="16.42578125" style="1" bestFit="1" customWidth="1"/>
    <col min="6414" max="6420" width="3.7109375" style="1" customWidth="1"/>
    <col min="6421" max="6421" width="5.7109375" style="1" customWidth="1"/>
    <col min="6422" max="6656" width="9.140625" style="1"/>
    <col min="6657" max="6657" width="1.7109375" style="1" customWidth="1"/>
    <col min="6658" max="6658" width="7.28515625" style="1" customWidth="1"/>
    <col min="6659" max="6659" width="6.140625" style="1" customWidth="1"/>
    <col min="6660" max="6660" width="14.85546875" style="1" customWidth="1"/>
    <col min="6661" max="6661" width="20.7109375" style="1" bestFit="1" customWidth="1"/>
    <col min="6662" max="6665" width="3.7109375" style="1" customWidth="1"/>
    <col min="6666" max="6666" width="21" style="1" bestFit="1" customWidth="1"/>
    <col min="6667" max="6667" width="9.42578125" style="1" customWidth="1"/>
    <col min="6668" max="6668" width="5.7109375" style="1" customWidth="1"/>
    <col min="6669" max="6669" width="16.42578125" style="1" bestFit="1" customWidth="1"/>
    <col min="6670" max="6676" width="3.7109375" style="1" customWidth="1"/>
    <col min="6677" max="6677" width="5.7109375" style="1" customWidth="1"/>
    <col min="6678" max="6912" width="9.140625" style="1"/>
    <col min="6913" max="6913" width="1.7109375" style="1" customWidth="1"/>
    <col min="6914" max="6914" width="7.28515625" style="1" customWidth="1"/>
    <col min="6915" max="6915" width="6.140625" style="1" customWidth="1"/>
    <col min="6916" max="6916" width="14.85546875" style="1" customWidth="1"/>
    <col min="6917" max="6917" width="20.7109375" style="1" bestFit="1" customWidth="1"/>
    <col min="6918" max="6921" width="3.7109375" style="1" customWidth="1"/>
    <col min="6922" max="6922" width="21" style="1" bestFit="1" customWidth="1"/>
    <col min="6923" max="6923" width="9.42578125" style="1" customWidth="1"/>
    <col min="6924" max="6924" width="5.7109375" style="1" customWidth="1"/>
    <col min="6925" max="6925" width="16.42578125" style="1" bestFit="1" customWidth="1"/>
    <col min="6926" max="6932" width="3.7109375" style="1" customWidth="1"/>
    <col min="6933" max="6933" width="5.7109375" style="1" customWidth="1"/>
    <col min="6934" max="7168" width="9.140625" style="1"/>
    <col min="7169" max="7169" width="1.7109375" style="1" customWidth="1"/>
    <col min="7170" max="7170" width="7.28515625" style="1" customWidth="1"/>
    <col min="7171" max="7171" width="6.140625" style="1" customWidth="1"/>
    <col min="7172" max="7172" width="14.85546875" style="1" customWidth="1"/>
    <col min="7173" max="7173" width="20.7109375" style="1" bestFit="1" customWidth="1"/>
    <col min="7174" max="7177" width="3.7109375" style="1" customWidth="1"/>
    <col min="7178" max="7178" width="21" style="1" bestFit="1" customWidth="1"/>
    <col min="7179" max="7179" width="9.42578125" style="1" customWidth="1"/>
    <col min="7180" max="7180" width="5.7109375" style="1" customWidth="1"/>
    <col min="7181" max="7181" width="16.42578125" style="1" bestFit="1" customWidth="1"/>
    <col min="7182" max="7188" width="3.7109375" style="1" customWidth="1"/>
    <col min="7189" max="7189" width="5.7109375" style="1" customWidth="1"/>
    <col min="7190" max="7424" width="9.140625" style="1"/>
    <col min="7425" max="7425" width="1.7109375" style="1" customWidth="1"/>
    <col min="7426" max="7426" width="7.28515625" style="1" customWidth="1"/>
    <col min="7427" max="7427" width="6.140625" style="1" customWidth="1"/>
    <col min="7428" max="7428" width="14.85546875" style="1" customWidth="1"/>
    <col min="7429" max="7429" width="20.7109375" style="1" bestFit="1" customWidth="1"/>
    <col min="7430" max="7433" width="3.7109375" style="1" customWidth="1"/>
    <col min="7434" max="7434" width="21" style="1" bestFit="1" customWidth="1"/>
    <col min="7435" max="7435" width="9.42578125" style="1" customWidth="1"/>
    <col min="7436" max="7436" width="5.7109375" style="1" customWidth="1"/>
    <col min="7437" max="7437" width="16.42578125" style="1" bestFit="1" customWidth="1"/>
    <col min="7438" max="7444" width="3.7109375" style="1" customWidth="1"/>
    <col min="7445" max="7445" width="5.7109375" style="1" customWidth="1"/>
    <col min="7446" max="7680" width="9.140625" style="1"/>
    <col min="7681" max="7681" width="1.7109375" style="1" customWidth="1"/>
    <col min="7682" max="7682" width="7.28515625" style="1" customWidth="1"/>
    <col min="7683" max="7683" width="6.140625" style="1" customWidth="1"/>
    <col min="7684" max="7684" width="14.85546875" style="1" customWidth="1"/>
    <col min="7685" max="7685" width="20.7109375" style="1" bestFit="1" customWidth="1"/>
    <col min="7686" max="7689" width="3.7109375" style="1" customWidth="1"/>
    <col min="7690" max="7690" width="21" style="1" bestFit="1" customWidth="1"/>
    <col min="7691" max="7691" width="9.42578125" style="1" customWidth="1"/>
    <col min="7692" max="7692" width="5.7109375" style="1" customWidth="1"/>
    <col min="7693" max="7693" width="16.42578125" style="1" bestFit="1" customWidth="1"/>
    <col min="7694" max="7700" width="3.7109375" style="1" customWidth="1"/>
    <col min="7701" max="7701" width="5.7109375" style="1" customWidth="1"/>
    <col min="7702" max="7936" width="9.140625" style="1"/>
    <col min="7937" max="7937" width="1.7109375" style="1" customWidth="1"/>
    <col min="7938" max="7938" width="7.28515625" style="1" customWidth="1"/>
    <col min="7939" max="7939" width="6.140625" style="1" customWidth="1"/>
    <col min="7940" max="7940" width="14.85546875" style="1" customWidth="1"/>
    <col min="7941" max="7941" width="20.7109375" style="1" bestFit="1" customWidth="1"/>
    <col min="7942" max="7945" width="3.7109375" style="1" customWidth="1"/>
    <col min="7946" max="7946" width="21" style="1" bestFit="1" customWidth="1"/>
    <col min="7947" max="7947" width="9.42578125" style="1" customWidth="1"/>
    <col min="7948" max="7948" width="5.7109375" style="1" customWidth="1"/>
    <col min="7949" max="7949" width="16.42578125" style="1" bestFit="1" customWidth="1"/>
    <col min="7950" max="7956" width="3.7109375" style="1" customWidth="1"/>
    <col min="7957" max="7957" width="5.7109375" style="1" customWidth="1"/>
    <col min="7958" max="8192" width="9.140625" style="1"/>
    <col min="8193" max="8193" width="1.7109375" style="1" customWidth="1"/>
    <col min="8194" max="8194" width="7.28515625" style="1" customWidth="1"/>
    <col min="8195" max="8195" width="6.140625" style="1" customWidth="1"/>
    <col min="8196" max="8196" width="14.85546875" style="1" customWidth="1"/>
    <col min="8197" max="8197" width="20.7109375" style="1" bestFit="1" customWidth="1"/>
    <col min="8198" max="8201" width="3.7109375" style="1" customWidth="1"/>
    <col min="8202" max="8202" width="21" style="1" bestFit="1" customWidth="1"/>
    <col min="8203" max="8203" width="9.42578125" style="1" customWidth="1"/>
    <col min="8204" max="8204" width="5.7109375" style="1" customWidth="1"/>
    <col min="8205" max="8205" width="16.42578125" style="1" bestFit="1" customWidth="1"/>
    <col min="8206" max="8212" width="3.7109375" style="1" customWidth="1"/>
    <col min="8213" max="8213" width="5.7109375" style="1" customWidth="1"/>
    <col min="8214" max="8448" width="9.140625" style="1"/>
    <col min="8449" max="8449" width="1.7109375" style="1" customWidth="1"/>
    <col min="8450" max="8450" width="7.28515625" style="1" customWidth="1"/>
    <col min="8451" max="8451" width="6.140625" style="1" customWidth="1"/>
    <col min="8452" max="8452" width="14.85546875" style="1" customWidth="1"/>
    <col min="8453" max="8453" width="20.7109375" style="1" bestFit="1" customWidth="1"/>
    <col min="8454" max="8457" width="3.7109375" style="1" customWidth="1"/>
    <col min="8458" max="8458" width="21" style="1" bestFit="1" customWidth="1"/>
    <col min="8459" max="8459" width="9.42578125" style="1" customWidth="1"/>
    <col min="8460" max="8460" width="5.7109375" style="1" customWidth="1"/>
    <col min="8461" max="8461" width="16.42578125" style="1" bestFit="1" customWidth="1"/>
    <col min="8462" max="8468" width="3.7109375" style="1" customWidth="1"/>
    <col min="8469" max="8469" width="5.7109375" style="1" customWidth="1"/>
    <col min="8470" max="8704" width="9.140625" style="1"/>
    <col min="8705" max="8705" width="1.7109375" style="1" customWidth="1"/>
    <col min="8706" max="8706" width="7.28515625" style="1" customWidth="1"/>
    <col min="8707" max="8707" width="6.140625" style="1" customWidth="1"/>
    <col min="8708" max="8708" width="14.85546875" style="1" customWidth="1"/>
    <col min="8709" max="8709" width="20.7109375" style="1" bestFit="1" customWidth="1"/>
    <col min="8710" max="8713" width="3.7109375" style="1" customWidth="1"/>
    <col min="8714" max="8714" width="21" style="1" bestFit="1" customWidth="1"/>
    <col min="8715" max="8715" width="9.42578125" style="1" customWidth="1"/>
    <col min="8716" max="8716" width="5.7109375" style="1" customWidth="1"/>
    <col min="8717" max="8717" width="16.42578125" style="1" bestFit="1" customWidth="1"/>
    <col min="8718" max="8724" width="3.7109375" style="1" customWidth="1"/>
    <col min="8725" max="8725" width="5.7109375" style="1" customWidth="1"/>
    <col min="8726" max="8960" width="9.140625" style="1"/>
    <col min="8961" max="8961" width="1.7109375" style="1" customWidth="1"/>
    <col min="8962" max="8962" width="7.28515625" style="1" customWidth="1"/>
    <col min="8963" max="8963" width="6.140625" style="1" customWidth="1"/>
    <col min="8964" max="8964" width="14.85546875" style="1" customWidth="1"/>
    <col min="8965" max="8965" width="20.7109375" style="1" bestFit="1" customWidth="1"/>
    <col min="8966" max="8969" width="3.7109375" style="1" customWidth="1"/>
    <col min="8970" max="8970" width="21" style="1" bestFit="1" customWidth="1"/>
    <col min="8971" max="8971" width="9.42578125" style="1" customWidth="1"/>
    <col min="8972" max="8972" width="5.7109375" style="1" customWidth="1"/>
    <col min="8973" max="8973" width="16.42578125" style="1" bestFit="1" customWidth="1"/>
    <col min="8974" max="8980" width="3.7109375" style="1" customWidth="1"/>
    <col min="8981" max="8981" width="5.7109375" style="1" customWidth="1"/>
    <col min="8982" max="9216" width="9.140625" style="1"/>
    <col min="9217" max="9217" width="1.7109375" style="1" customWidth="1"/>
    <col min="9218" max="9218" width="7.28515625" style="1" customWidth="1"/>
    <col min="9219" max="9219" width="6.140625" style="1" customWidth="1"/>
    <col min="9220" max="9220" width="14.85546875" style="1" customWidth="1"/>
    <col min="9221" max="9221" width="20.7109375" style="1" bestFit="1" customWidth="1"/>
    <col min="9222" max="9225" width="3.7109375" style="1" customWidth="1"/>
    <col min="9226" max="9226" width="21" style="1" bestFit="1" customWidth="1"/>
    <col min="9227" max="9227" width="9.42578125" style="1" customWidth="1"/>
    <col min="9228" max="9228" width="5.7109375" style="1" customWidth="1"/>
    <col min="9229" max="9229" width="16.42578125" style="1" bestFit="1" customWidth="1"/>
    <col min="9230" max="9236" width="3.7109375" style="1" customWidth="1"/>
    <col min="9237" max="9237" width="5.7109375" style="1" customWidth="1"/>
    <col min="9238" max="9472" width="9.140625" style="1"/>
    <col min="9473" max="9473" width="1.7109375" style="1" customWidth="1"/>
    <col min="9474" max="9474" width="7.28515625" style="1" customWidth="1"/>
    <col min="9475" max="9475" width="6.140625" style="1" customWidth="1"/>
    <col min="9476" max="9476" width="14.85546875" style="1" customWidth="1"/>
    <col min="9477" max="9477" width="20.7109375" style="1" bestFit="1" customWidth="1"/>
    <col min="9478" max="9481" width="3.7109375" style="1" customWidth="1"/>
    <col min="9482" max="9482" width="21" style="1" bestFit="1" customWidth="1"/>
    <col min="9483" max="9483" width="9.42578125" style="1" customWidth="1"/>
    <col min="9484" max="9484" width="5.7109375" style="1" customWidth="1"/>
    <col min="9485" max="9485" width="16.42578125" style="1" bestFit="1" customWidth="1"/>
    <col min="9486" max="9492" width="3.7109375" style="1" customWidth="1"/>
    <col min="9493" max="9493" width="5.7109375" style="1" customWidth="1"/>
    <col min="9494" max="9728" width="9.140625" style="1"/>
    <col min="9729" max="9729" width="1.7109375" style="1" customWidth="1"/>
    <col min="9730" max="9730" width="7.28515625" style="1" customWidth="1"/>
    <col min="9731" max="9731" width="6.140625" style="1" customWidth="1"/>
    <col min="9732" max="9732" width="14.85546875" style="1" customWidth="1"/>
    <col min="9733" max="9733" width="20.7109375" style="1" bestFit="1" customWidth="1"/>
    <col min="9734" max="9737" width="3.7109375" style="1" customWidth="1"/>
    <col min="9738" max="9738" width="21" style="1" bestFit="1" customWidth="1"/>
    <col min="9739" max="9739" width="9.42578125" style="1" customWidth="1"/>
    <col min="9740" max="9740" width="5.7109375" style="1" customWidth="1"/>
    <col min="9741" max="9741" width="16.42578125" style="1" bestFit="1" customWidth="1"/>
    <col min="9742" max="9748" width="3.7109375" style="1" customWidth="1"/>
    <col min="9749" max="9749" width="5.7109375" style="1" customWidth="1"/>
    <col min="9750" max="9984" width="9.140625" style="1"/>
    <col min="9985" max="9985" width="1.7109375" style="1" customWidth="1"/>
    <col min="9986" max="9986" width="7.28515625" style="1" customWidth="1"/>
    <col min="9987" max="9987" width="6.140625" style="1" customWidth="1"/>
    <col min="9988" max="9988" width="14.85546875" style="1" customWidth="1"/>
    <col min="9989" max="9989" width="20.7109375" style="1" bestFit="1" customWidth="1"/>
    <col min="9990" max="9993" width="3.7109375" style="1" customWidth="1"/>
    <col min="9994" max="9994" width="21" style="1" bestFit="1" customWidth="1"/>
    <col min="9995" max="9995" width="9.42578125" style="1" customWidth="1"/>
    <col min="9996" max="9996" width="5.7109375" style="1" customWidth="1"/>
    <col min="9997" max="9997" width="16.42578125" style="1" bestFit="1" customWidth="1"/>
    <col min="9998" max="10004" width="3.7109375" style="1" customWidth="1"/>
    <col min="10005" max="10005" width="5.7109375" style="1" customWidth="1"/>
    <col min="10006" max="10240" width="9.140625" style="1"/>
    <col min="10241" max="10241" width="1.7109375" style="1" customWidth="1"/>
    <col min="10242" max="10242" width="7.28515625" style="1" customWidth="1"/>
    <col min="10243" max="10243" width="6.140625" style="1" customWidth="1"/>
    <col min="10244" max="10244" width="14.85546875" style="1" customWidth="1"/>
    <col min="10245" max="10245" width="20.7109375" style="1" bestFit="1" customWidth="1"/>
    <col min="10246" max="10249" width="3.7109375" style="1" customWidth="1"/>
    <col min="10250" max="10250" width="21" style="1" bestFit="1" customWidth="1"/>
    <col min="10251" max="10251" width="9.42578125" style="1" customWidth="1"/>
    <col min="10252" max="10252" width="5.7109375" style="1" customWidth="1"/>
    <col min="10253" max="10253" width="16.42578125" style="1" bestFit="1" customWidth="1"/>
    <col min="10254" max="10260" width="3.7109375" style="1" customWidth="1"/>
    <col min="10261" max="10261" width="5.7109375" style="1" customWidth="1"/>
    <col min="10262" max="10496" width="9.140625" style="1"/>
    <col min="10497" max="10497" width="1.7109375" style="1" customWidth="1"/>
    <col min="10498" max="10498" width="7.28515625" style="1" customWidth="1"/>
    <col min="10499" max="10499" width="6.140625" style="1" customWidth="1"/>
    <col min="10500" max="10500" width="14.85546875" style="1" customWidth="1"/>
    <col min="10501" max="10501" width="20.7109375" style="1" bestFit="1" customWidth="1"/>
    <col min="10502" max="10505" width="3.7109375" style="1" customWidth="1"/>
    <col min="10506" max="10506" width="21" style="1" bestFit="1" customWidth="1"/>
    <col min="10507" max="10507" width="9.42578125" style="1" customWidth="1"/>
    <col min="10508" max="10508" width="5.7109375" style="1" customWidth="1"/>
    <col min="10509" max="10509" width="16.42578125" style="1" bestFit="1" customWidth="1"/>
    <col min="10510" max="10516" width="3.7109375" style="1" customWidth="1"/>
    <col min="10517" max="10517" width="5.7109375" style="1" customWidth="1"/>
    <col min="10518" max="10752" width="9.140625" style="1"/>
    <col min="10753" max="10753" width="1.7109375" style="1" customWidth="1"/>
    <col min="10754" max="10754" width="7.28515625" style="1" customWidth="1"/>
    <col min="10755" max="10755" width="6.140625" style="1" customWidth="1"/>
    <col min="10756" max="10756" width="14.85546875" style="1" customWidth="1"/>
    <col min="10757" max="10757" width="20.7109375" style="1" bestFit="1" customWidth="1"/>
    <col min="10758" max="10761" width="3.7109375" style="1" customWidth="1"/>
    <col min="10762" max="10762" width="21" style="1" bestFit="1" customWidth="1"/>
    <col min="10763" max="10763" width="9.42578125" style="1" customWidth="1"/>
    <col min="10764" max="10764" width="5.7109375" style="1" customWidth="1"/>
    <col min="10765" max="10765" width="16.42578125" style="1" bestFit="1" customWidth="1"/>
    <col min="10766" max="10772" width="3.7109375" style="1" customWidth="1"/>
    <col min="10773" max="10773" width="5.7109375" style="1" customWidth="1"/>
    <col min="10774" max="11008" width="9.140625" style="1"/>
    <col min="11009" max="11009" width="1.7109375" style="1" customWidth="1"/>
    <col min="11010" max="11010" width="7.28515625" style="1" customWidth="1"/>
    <col min="11011" max="11011" width="6.140625" style="1" customWidth="1"/>
    <col min="11012" max="11012" width="14.85546875" style="1" customWidth="1"/>
    <col min="11013" max="11013" width="20.7109375" style="1" bestFit="1" customWidth="1"/>
    <col min="11014" max="11017" width="3.7109375" style="1" customWidth="1"/>
    <col min="11018" max="11018" width="21" style="1" bestFit="1" customWidth="1"/>
    <col min="11019" max="11019" width="9.42578125" style="1" customWidth="1"/>
    <col min="11020" max="11020" width="5.7109375" style="1" customWidth="1"/>
    <col min="11021" max="11021" width="16.42578125" style="1" bestFit="1" customWidth="1"/>
    <col min="11022" max="11028" width="3.7109375" style="1" customWidth="1"/>
    <col min="11029" max="11029" width="5.7109375" style="1" customWidth="1"/>
    <col min="11030" max="11264" width="9.140625" style="1"/>
    <col min="11265" max="11265" width="1.7109375" style="1" customWidth="1"/>
    <col min="11266" max="11266" width="7.28515625" style="1" customWidth="1"/>
    <col min="11267" max="11267" width="6.140625" style="1" customWidth="1"/>
    <col min="11268" max="11268" width="14.85546875" style="1" customWidth="1"/>
    <col min="11269" max="11269" width="20.7109375" style="1" bestFit="1" customWidth="1"/>
    <col min="11270" max="11273" width="3.7109375" style="1" customWidth="1"/>
    <col min="11274" max="11274" width="21" style="1" bestFit="1" customWidth="1"/>
    <col min="11275" max="11275" width="9.42578125" style="1" customWidth="1"/>
    <col min="11276" max="11276" width="5.7109375" style="1" customWidth="1"/>
    <col min="11277" max="11277" width="16.42578125" style="1" bestFit="1" customWidth="1"/>
    <col min="11278" max="11284" width="3.7109375" style="1" customWidth="1"/>
    <col min="11285" max="11285" width="5.7109375" style="1" customWidth="1"/>
    <col min="11286" max="11520" width="9.140625" style="1"/>
    <col min="11521" max="11521" width="1.7109375" style="1" customWidth="1"/>
    <col min="11522" max="11522" width="7.28515625" style="1" customWidth="1"/>
    <col min="11523" max="11523" width="6.140625" style="1" customWidth="1"/>
    <col min="11524" max="11524" width="14.85546875" style="1" customWidth="1"/>
    <col min="11525" max="11525" width="20.7109375" style="1" bestFit="1" customWidth="1"/>
    <col min="11526" max="11529" width="3.7109375" style="1" customWidth="1"/>
    <col min="11530" max="11530" width="21" style="1" bestFit="1" customWidth="1"/>
    <col min="11531" max="11531" width="9.42578125" style="1" customWidth="1"/>
    <col min="11532" max="11532" width="5.7109375" style="1" customWidth="1"/>
    <col min="11533" max="11533" width="16.42578125" style="1" bestFit="1" customWidth="1"/>
    <col min="11534" max="11540" width="3.7109375" style="1" customWidth="1"/>
    <col min="11541" max="11541" width="5.7109375" style="1" customWidth="1"/>
    <col min="11542" max="11776" width="9.140625" style="1"/>
    <col min="11777" max="11777" width="1.7109375" style="1" customWidth="1"/>
    <col min="11778" max="11778" width="7.28515625" style="1" customWidth="1"/>
    <col min="11779" max="11779" width="6.140625" style="1" customWidth="1"/>
    <col min="11780" max="11780" width="14.85546875" style="1" customWidth="1"/>
    <col min="11781" max="11781" width="20.7109375" style="1" bestFit="1" customWidth="1"/>
    <col min="11782" max="11785" width="3.7109375" style="1" customWidth="1"/>
    <col min="11786" max="11786" width="21" style="1" bestFit="1" customWidth="1"/>
    <col min="11787" max="11787" width="9.42578125" style="1" customWidth="1"/>
    <col min="11788" max="11788" width="5.7109375" style="1" customWidth="1"/>
    <col min="11789" max="11789" width="16.42578125" style="1" bestFit="1" customWidth="1"/>
    <col min="11790" max="11796" width="3.7109375" style="1" customWidth="1"/>
    <col min="11797" max="11797" width="5.7109375" style="1" customWidth="1"/>
    <col min="11798" max="12032" width="9.140625" style="1"/>
    <col min="12033" max="12033" width="1.7109375" style="1" customWidth="1"/>
    <col min="12034" max="12034" width="7.28515625" style="1" customWidth="1"/>
    <col min="12035" max="12035" width="6.140625" style="1" customWidth="1"/>
    <col min="12036" max="12036" width="14.85546875" style="1" customWidth="1"/>
    <col min="12037" max="12037" width="20.7109375" style="1" bestFit="1" customWidth="1"/>
    <col min="12038" max="12041" width="3.7109375" style="1" customWidth="1"/>
    <col min="12042" max="12042" width="21" style="1" bestFit="1" customWidth="1"/>
    <col min="12043" max="12043" width="9.42578125" style="1" customWidth="1"/>
    <col min="12044" max="12044" width="5.7109375" style="1" customWidth="1"/>
    <col min="12045" max="12045" width="16.42578125" style="1" bestFit="1" customWidth="1"/>
    <col min="12046" max="12052" width="3.7109375" style="1" customWidth="1"/>
    <col min="12053" max="12053" width="5.7109375" style="1" customWidth="1"/>
    <col min="12054" max="12288" width="9.140625" style="1"/>
    <col min="12289" max="12289" width="1.7109375" style="1" customWidth="1"/>
    <col min="12290" max="12290" width="7.28515625" style="1" customWidth="1"/>
    <col min="12291" max="12291" width="6.140625" style="1" customWidth="1"/>
    <col min="12292" max="12292" width="14.85546875" style="1" customWidth="1"/>
    <col min="12293" max="12293" width="20.7109375" style="1" bestFit="1" customWidth="1"/>
    <col min="12294" max="12297" width="3.7109375" style="1" customWidth="1"/>
    <col min="12298" max="12298" width="21" style="1" bestFit="1" customWidth="1"/>
    <col min="12299" max="12299" width="9.42578125" style="1" customWidth="1"/>
    <col min="12300" max="12300" width="5.7109375" style="1" customWidth="1"/>
    <col min="12301" max="12301" width="16.42578125" style="1" bestFit="1" customWidth="1"/>
    <col min="12302" max="12308" width="3.7109375" style="1" customWidth="1"/>
    <col min="12309" max="12309" width="5.7109375" style="1" customWidth="1"/>
    <col min="12310" max="12544" width="9.140625" style="1"/>
    <col min="12545" max="12545" width="1.7109375" style="1" customWidth="1"/>
    <col min="12546" max="12546" width="7.28515625" style="1" customWidth="1"/>
    <col min="12547" max="12547" width="6.140625" style="1" customWidth="1"/>
    <col min="12548" max="12548" width="14.85546875" style="1" customWidth="1"/>
    <col min="12549" max="12549" width="20.7109375" style="1" bestFit="1" customWidth="1"/>
    <col min="12550" max="12553" width="3.7109375" style="1" customWidth="1"/>
    <col min="12554" max="12554" width="21" style="1" bestFit="1" customWidth="1"/>
    <col min="12555" max="12555" width="9.42578125" style="1" customWidth="1"/>
    <col min="12556" max="12556" width="5.7109375" style="1" customWidth="1"/>
    <col min="12557" max="12557" width="16.42578125" style="1" bestFit="1" customWidth="1"/>
    <col min="12558" max="12564" width="3.7109375" style="1" customWidth="1"/>
    <col min="12565" max="12565" width="5.7109375" style="1" customWidth="1"/>
    <col min="12566" max="12800" width="9.140625" style="1"/>
    <col min="12801" max="12801" width="1.7109375" style="1" customWidth="1"/>
    <col min="12802" max="12802" width="7.28515625" style="1" customWidth="1"/>
    <col min="12803" max="12803" width="6.140625" style="1" customWidth="1"/>
    <col min="12804" max="12804" width="14.85546875" style="1" customWidth="1"/>
    <col min="12805" max="12805" width="20.7109375" style="1" bestFit="1" customWidth="1"/>
    <col min="12806" max="12809" width="3.7109375" style="1" customWidth="1"/>
    <col min="12810" max="12810" width="21" style="1" bestFit="1" customWidth="1"/>
    <col min="12811" max="12811" width="9.42578125" style="1" customWidth="1"/>
    <col min="12812" max="12812" width="5.7109375" style="1" customWidth="1"/>
    <col min="12813" max="12813" width="16.42578125" style="1" bestFit="1" customWidth="1"/>
    <col min="12814" max="12820" width="3.7109375" style="1" customWidth="1"/>
    <col min="12821" max="12821" width="5.7109375" style="1" customWidth="1"/>
    <col min="12822" max="13056" width="9.140625" style="1"/>
    <col min="13057" max="13057" width="1.7109375" style="1" customWidth="1"/>
    <col min="13058" max="13058" width="7.28515625" style="1" customWidth="1"/>
    <col min="13059" max="13059" width="6.140625" style="1" customWidth="1"/>
    <col min="13060" max="13060" width="14.85546875" style="1" customWidth="1"/>
    <col min="13061" max="13061" width="20.7109375" style="1" bestFit="1" customWidth="1"/>
    <col min="13062" max="13065" width="3.7109375" style="1" customWidth="1"/>
    <col min="13066" max="13066" width="21" style="1" bestFit="1" customWidth="1"/>
    <col min="13067" max="13067" width="9.42578125" style="1" customWidth="1"/>
    <col min="13068" max="13068" width="5.7109375" style="1" customWidth="1"/>
    <col min="13069" max="13069" width="16.42578125" style="1" bestFit="1" customWidth="1"/>
    <col min="13070" max="13076" width="3.7109375" style="1" customWidth="1"/>
    <col min="13077" max="13077" width="5.7109375" style="1" customWidth="1"/>
    <col min="13078" max="13312" width="9.140625" style="1"/>
    <col min="13313" max="13313" width="1.7109375" style="1" customWidth="1"/>
    <col min="13314" max="13314" width="7.28515625" style="1" customWidth="1"/>
    <col min="13315" max="13315" width="6.140625" style="1" customWidth="1"/>
    <col min="13316" max="13316" width="14.85546875" style="1" customWidth="1"/>
    <col min="13317" max="13317" width="20.7109375" style="1" bestFit="1" customWidth="1"/>
    <col min="13318" max="13321" width="3.7109375" style="1" customWidth="1"/>
    <col min="13322" max="13322" width="21" style="1" bestFit="1" customWidth="1"/>
    <col min="13323" max="13323" width="9.42578125" style="1" customWidth="1"/>
    <col min="13324" max="13324" width="5.7109375" style="1" customWidth="1"/>
    <col min="13325" max="13325" width="16.42578125" style="1" bestFit="1" customWidth="1"/>
    <col min="13326" max="13332" width="3.7109375" style="1" customWidth="1"/>
    <col min="13333" max="13333" width="5.7109375" style="1" customWidth="1"/>
    <col min="13334" max="13568" width="9.140625" style="1"/>
    <col min="13569" max="13569" width="1.7109375" style="1" customWidth="1"/>
    <col min="13570" max="13570" width="7.28515625" style="1" customWidth="1"/>
    <col min="13571" max="13571" width="6.140625" style="1" customWidth="1"/>
    <col min="13572" max="13572" width="14.85546875" style="1" customWidth="1"/>
    <col min="13573" max="13573" width="20.7109375" style="1" bestFit="1" customWidth="1"/>
    <col min="13574" max="13577" width="3.7109375" style="1" customWidth="1"/>
    <col min="13578" max="13578" width="21" style="1" bestFit="1" customWidth="1"/>
    <col min="13579" max="13579" width="9.42578125" style="1" customWidth="1"/>
    <col min="13580" max="13580" width="5.7109375" style="1" customWidth="1"/>
    <col min="13581" max="13581" width="16.42578125" style="1" bestFit="1" customWidth="1"/>
    <col min="13582" max="13588" width="3.7109375" style="1" customWidth="1"/>
    <col min="13589" max="13589" width="5.7109375" style="1" customWidth="1"/>
    <col min="13590" max="13824" width="9.140625" style="1"/>
    <col min="13825" max="13825" width="1.7109375" style="1" customWidth="1"/>
    <col min="13826" max="13826" width="7.28515625" style="1" customWidth="1"/>
    <col min="13827" max="13827" width="6.140625" style="1" customWidth="1"/>
    <col min="13828" max="13828" width="14.85546875" style="1" customWidth="1"/>
    <col min="13829" max="13829" width="20.7109375" style="1" bestFit="1" customWidth="1"/>
    <col min="13830" max="13833" width="3.7109375" style="1" customWidth="1"/>
    <col min="13834" max="13834" width="21" style="1" bestFit="1" customWidth="1"/>
    <col min="13835" max="13835" width="9.42578125" style="1" customWidth="1"/>
    <col min="13836" max="13836" width="5.7109375" style="1" customWidth="1"/>
    <col min="13837" max="13837" width="16.42578125" style="1" bestFit="1" customWidth="1"/>
    <col min="13838" max="13844" width="3.7109375" style="1" customWidth="1"/>
    <col min="13845" max="13845" width="5.7109375" style="1" customWidth="1"/>
    <col min="13846" max="14080" width="9.140625" style="1"/>
    <col min="14081" max="14081" width="1.7109375" style="1" customWidth="1"/>
    <col min="14082" max="14082" width="7.28515625" style="1" customWidth="1"/>
    <col min="14083" max="14083" width="6.140625" style="1" customWidth="1"/>
    <col min="14084" max="14084" width="14.85546875" style="1" customWidth="1"/>
    <col min="14085" max="14085" width="20.7109375" style="1" bestFit="1" customWidth="1"/>
    <col min="14086" max="14089" width="3.7109375" style="1" customWidth="1"/>
    <col min="14090" max="14090" width="21" style="1" bestFit="1" customWidth="1"/>
    <col min="14091" max="14091" width="9.42578125" style="1" customWidth="1"/>
    <col min="14092" max="14092" width="5.7109375" style="1" customWidth="1"/>
    <col min="14093" max="14093" width="16.42578125" style="1" bestFit="1" customWidth="1"/>
    <col min="14094" max="14100" width="3.7109375" style="1" customWidth="1"/>
    <col min="14101" max="14101" width="5.7109375" style="1" customWidth="1"/>
    <col min="14102" max="14336" width="9.140625" style="1"/>
    <col min="14337" max="14337" width="1.7109375" style="1" customWidth="1"/>
    <col min="14338" max="14338" width="7.28515625" style="1" customWidth="1"/>
    <col min="14339" max="14339" width="6.140625" style="1" customWidth="1"/>
    <col min="14340" max="14340" width="14.85546875" style="1" customWidth="1"/>
    <col min="14341" max="14341" width="20.7109375" style="1" bestFit="1" customWidth="1"/>
    <col min="14342" max="14345" width="3.7109375" style="1" customWidth="1"/>
    <col min="14346" max="14346" width="21" style="1" bestFit="1" customWidth="1"/>
    <col min="14347" max="14347" width="9.42578125" style="1" customWidth="1"/>
    <col min="14348" max="14348" width="5.7109375" style="1" customWidth="1"/>
    <col min="14349" max="14349" width="16.42578125" style="1" bestFit="1" customWidth="1"/>
    <col min="14350" max="14356" width="3.7109375" style="1" customWidth="1"/>
    <col min="14357" max="14357" width="5.7109375" style="1" customWidth="1"/>
    <col min="14358" max="14592" width="9.140625" style="1"/>
    <col min="14593" max="14593" width="1.7109375" style="1" customWidth="1"/>
    <col min="14594" max="14594" width="7.28515625" style="1" customWidth="1"/>
    <col min="14595" max="14595" width="6.140625" style="1" customWidth="1"/>
    <col min="14596" max="14596" width="14.85546875" style="1" customWidth="1"/>
    <col min="14597" max="14597" width="20.7109375" style="1" bestFit="1" customWidth="1"/>
    <col min="14598" max="14601" width="3.7109375" style="1" customWidth="1"/>
    <col min="14602" max="14602" width="21" style="1" bestFit="1" customWidth="1"/>
    <col min="14603" max="14603" width="9.42578125" style="1" customWidth="1"/>
    <col min="14604" max="14604" width="5.7109375" style="1" customWidth="1"/>
    <col min="14605" max="14605" width="16.42578125" style="1" bestFit="1" customWidth="1"/>
    <col min="14606" max="14612" width="3.7109375" style="1" customWidth="1"/>
    <col min="14613" max="14613" width="5.7109375" style="1" customWidth="1"/>
    <col min="14614" max="14848" width="9.140625" style="1"/>
    <col min="14849" max="14849" width="1.7109375" style="1" customWidth="1"/>
    <col min="14850" max="14850" width="7.28515625" style="1" customWidth="1"/>
    <col min="14851" max="14851" width="6.140625" style="1" customWidth="1"/>
    <col min="14852" max="14852" width="14.85546875" style="1" customWidth="1"/>
    <col min="14853" max="14853" width="20.7109375" style="1" bestFit="1" customWidth="1"/>
    <col min="14854" max="14857" width="3.7109375" style="1" customWidth="1"/>
    <col min="14858" max="14858" width="21" style="1" bestFit="1" customWidth="1"/>
    <col min="14859" max="14859" width="9.42578125" style="1" customWidth="1"/>
    <col min="14860" max="14860" width="5.7109375" style="1" customWidth="1"/>
    <col min="14861" max="14861" width="16.42578125" style="1" bestFit="1" customWidth="1"/>
    <col min="14862" max="14868" width="3.7109375" style="1" customWidth="1"/>
    <col min="14869" max="14869" width="5.7109375" style="1" customWidth="1"/>
    <col min="14870" max="15104" width="9.140625" style="1"/>
    <col min="15105" max="15105" width="1.7109375" style="1" customWidth="1"/>
    <col min="15106" max="15106" width="7.28515625" style="1" customWidth="1"/>
    <col min="15107" max="15107" width="6.140625" style="1" customWidth="1"/>
    <col min="15108" max="15108" width="14.85546875" style="1" customWidth="1"/>
    <col min="15109" max="15109" width="20.7109375" style="1" bestFit="1" customWidth="1"/>
    <col min="15110" max="15113" width="3.7109375" style="1" customWidth="1"/>
    <col min="15114" max="15114" width="21" style="1" bestFit="1" customWidth="1"/>
    <col min="15115" max="15115" width="9.42578125" style="1" customWidth="1"/>
    <col min="15116" max="15116" width="5.7109375" style="1" customWidth="1"/>
    <col min="15117" max="15117" width="16.42578125" style="1" bestFit="1" customWidth="1"/>
    <col min="15118" max="15124" width="3.7109375" style="1" customWidth="1"/>
    <col min="15125" max="15125" width="5.7109375" style="1" customWidth="1"/>
    <col min="15126" max="15360" width="9.140625" style="1"/>
    <col min="15361" max="15361" width="1.7109375" style="1" customWidth="1"/>
    <col min="15362" max="15362" width="7.28515625" style="1" customWidth="1"/>
    <col min="15363" max="15363" width="6.140625" style="1" customWidth="1"/>
    <col min="15364" max="15364" width="14.85546875" style="1" customWidth="1"/>
    <col min="15365" max="15365" width="20.7109375" style="1" bestFit="1" customWidth="1"/>
    <col min="15366" max="15369" width="3.7109375" style="1" customWidth="1"/>
    <col min="15370" max="15370" width="21" style="1" bestFit="1" customWidth="1"/>
    <col min="15371" max="15371" width="9.42578125" style="1" customWidth="1"/>
    <col min="15372" max="15372" width="5.7109375" style="1" customWidth="1"/>
    <col min="15373" max="15373" width="16.42578125" style="1" bestFit="1" customWidth="1"/>
    <col min="15374" max="15380" width="3.7109375" style="1" customWidth="1"/>
    <col min="15381" max="15381" width="5.7109375" style="1" customWidth="1"/>
    <col min="15382" max="15616" width="9.140625" style="1"/>
    <col min="15617" max="15617" width="1.7109375" style="1" customWidth="1"/>
    <col min="15618" max="15618" width="7.28515625" style="1" customWidth="1"/>
    <col min="15619" max="15619" width="6.140625" style="1" customWidth="1"/>
    <col min="15620" max="15620" width="14.85546875" style="1" customWidth="1"/>
    <col min="15621" max="15621" width="20.7109375" style="1" bestFit="1" customWidth="1"/>
    <col min="15622" max="15625" width="3.7109375" style="1" customWidth="1"/>
    <col min="15626" max="15626" width="21" style="1" bestFit="1" customWidth="1"/>
    <col min="15627" max="15627" width="9.42578125" style="1" customWidth="1"/>
    <col min="15628" max="15628" width="5.7109375" style="1" customWidth="1"/>
    <col min="15629" max="15629" width="16.42578125" style="1" bestFit="1" customWidth="1"/>
    <col min="15630" max="15636" width="3.7109375" style="1" customWidth="1"/>
    <col min="15637" max="15637" width="5.7109375" style="1" customWidth="1"/>
    <col min="15638" max="15872" width="9.140625" style="1"/>
    <col min="15873" max="15873" width="1.7109375" style="1" customWidth="1"/>
    <col min="15874" max="15874" width="7.28515625" style="1" customWidth="1"/>
    <col min="15875" max="15875" width="6.140625" style="1" customWidth="1"/>
    <col min="15876" max="15876" width="14.85546875" style="1" customWidth="1"/>
    <col min="15877" max="15877" width="20.7109375" style="1" bestFit="1" customWidth="1"/>
    <col min="15878" max="15881" width="3.7109375" style="1" customWidth="1"/>
    <col min="15882" max="15882" width="21" style="1" bestFit="1" customWidth="1"/>
    <col min="15883" max="15883" width="9.42578125" style="1" customWidth="1"/>
    <col min="15884" max="15884" width="5.7109375" style="1" customWidth="1"/>
    <col min="15885" max="15885" width="16.42578125" style="1" bestFit="1" customWidth="1"/>
    <col min="15886" max="15892" width="3.7109375" style="1" customWidth="1"/>
    <col min="15893" max="15893" width="5.7109375" style="1" customWidth="1"/>
    <col min="15894" max="16128" width="9.140625" style="1"/>
    <col min="16129" max="16129" width="1.7109375" style="1" customWidth="1"/>
    <col min="16130" max="16130" width="7.28515625" style="1" customWidth="1"/>
    <col min="16131" max="16131" width="6.140625" style="1" customWidth="1"/>
    <col min="16132" max="16132" width="14.85546875" style="1" customWidth="1"/>
    <col min="16133" max="16133" width="20.7109375" style="1" bestFit="1" customWidth="1"/>
    <col min="16134" max="16137" width="3.7109375" style="1" customWidth="1"/>
    <col min="16138" max="16138" width="21" style="1" bestFit="1" customWidth="1"/>
    <col min="16139" max="16139" width="9.42578125" style="1" customWidth="1"/>
    <col min="16140" max="16140" width="5.7109375" style="1" customWidth="1"/>
    <col min="16141" max="16141" width="16.42578125" style="1" bestFit="1" customWidth="1"/>
    <col min="16142" max="16148" width="3.7109375" style="1" customWidth="1"/>
    <col min="16149" max="16149" width="5.7109375" style="1" customWidth="1"/>
    <col min="16150" max="16384" width="9.140625" style="1"/>
  </cols>
  <sheetData>
    <row r="2" spans="2:21" ht="23.25" x14ac:dyDescent="0.25">
      <c r="B2" s="2" t="s">
        <v>62</v>
      </c>
      <c r="M2" s="6"/>
      <c r="O2" s="6"/>
      <c r="P2" s="6"/>
      <c r="Q2" s="6"/>
      <c r="R2" s="6"/>
      <c r="U2" s="6"/>
    </row>
    <row r="3" spans="2:21" ht="15" customHeight="1" x14ac:dyDescent="0.25">
      <c r="B3" s="1"/>
      <c r="E3" s="7" t="s">
        <v>42</v>
      </c>
      <c r="F3" s="1"/>
      <c r="M3" s="6"/>
      <c r="O3" s="6"/>
      <c r="P3" s="6"/>
      <c r="Q3" s="8"/>
      <c r="R3" s="8"/>
      <c r="S3" s="8"/>
      <c r="T3" s="8"/>
      <c r="U3" s="8"/>
    </row>
    <row r="4" spans="2:21" ht="15" customHeight="1" x14ac:dyDescent="0.25">
      <c r="B4" s="2"/>
      <c r="E4" s="7" t="s">
        <v>0</v>
      </c>
      <c r="F4" s="1"/>
      <c r="M4" s="6"/>
      <c r="O4" s="6"/>
      <c r="P4" s="6"/>
      <c r="Q4" s="8"/>
      <c r="R4" s="8"/>
      <c r="S4" s="8"/>
      <c r="T4" s="8"/>
      <c r="U4" s="8"/>
    </row>
    <row r="5" spans="2:21" ht="15" customHeight="1" x14ac:dyDescent="0.25">
      <c r="D5" s="10" t="s">
        <v>53</v>
      </c>
    </row>
    <row r="6" spans="2:21" ht="15" customHeight="1" thickBot="1" x14ac:dyDescent="0.3"/>
    <row r="7" spans="2:21" ht="15" customHeight="1" thickBot="1" x14ac:dyDescent="0.3">
      <c r="B7" s="14" t="s">
        <v>1</v>
      </c>
      <c r="C7" s="15" t="s">
        <v>2</v>
      </c>
      <c r="D7" s="16" t="s">
        <v>3</v>
      </c>
      <c r="E7" s="119" t="s">
        <v>4</v>
      </c>
      <c r="F7" s="120"/>
      <c r="G7" s="119"/>
      <c r="H7" s="119"/>
      <c r="I7" s="120"/>
      <c r="J7" s="121"/>
    </row>
    <row r="8" spans="2:21" ht="15" customHeight="1" x14ac:dyDescent="0.25">
      <c r="B8" s="17">
        <v>44886</v>
      </c>
      <c r="C8" s="18">
        <v>0.41666666666666669</v>
      </c>
      <c r="D8" s="19" t="s">
        <v>64</v>
      </c>
      <c r="E8" s="20" t="s">
        <v>54</v>
      </c>
      <c r="F8" s="21"/>
      <c r="G8" s="22"/>
      <c r="H8" s="22"/>
      <c r="I8" s="21"/>
      <c r="J8" s="24" t="s">
        <v>55</v>
      </c>
      <c r="L8" s="25" t="s">
        <v>41</v>
      </c>
      <c r="M8" s="26" t="s">
        <v>5</v>
      </c>
      <c r="N8" s="26" t="s">
        <v>6</v>
      </c>
      <c r="O8" s="26" t="s">
        <v>7</v>
      </c>
      <c r="P8" s="26" t="s">
        <v>8</v>
      </c>
      <c r="Q8" s="26" t="s">
        <v>9</v>
      </c>
      <c r="R8" s="26" t="s">
        <v>10</v>
      </c>
      <c r="S8" s="26" t="s">
        <v>11</v>
      </c>
      <c r="T8" s="26" t="s">
        <v>12</v>
      </c>
      <c r="U8" s="27" t="s">
        <v>13</v>
      </c>
    </row>
    <row r="9" spans="2:21" ht="15" customHeight="1" x14ac:dyDescent="0.25">
      <c r="B9" s="17">
        <v>44886</v>
      </c>
      <c r="C9" s="18">
        <v>0.16666666666666666</v>
      </c>
      <c r="D9" s="19" t="s">
        <v>63</v>
      </c>
      <c r="E9" s="20" t="s">
        <v>50</v>
      </c>
      <c r="F9" s="28"/>
      <c r="G9" s="22"/>
      <c r="H9" s="22"/>
      <c r="I9" s="28"/>
      <c r="J9" s="24" t="s">
        <v>56</v>
      </c>
      <c r="L9" s="29" t="str" cm="1">
        <f t="array" ref="L9">IF(O9=0,"",(SUMPRODUCT(((1000*N9+10*U9+S9)&lt; (1000*(N$9:N$12)+10*(U$9:U$12)+(S$9:S$12)))+0)+1))</f>
        <v/>
      </c>
      <c r="M9" s="30" t="s">
        <v>54</v>
      </c>
      <c r="N9" s="31">
        <f>(P9*3+Q9*1)</f>
        <v>0</v>
      </c>
      <c r="O9" s="32">
        <f>SUM(P9:R9)</f>
        <v>0</v>
      </c>
      <c r="P9" s="32">
        <f t="array" ref="P9">SUM((E$8:E$13=M9)*(G$8:G$13&lt;&gt;"")*(H$8:H$13&lt;&gt;"")*(G$8:G$13&gt;H$8:H$13),(J$8:J$13=M9)*(G$8:G$13&lt;&gt;"")*(H$8:H$13&lt;&gt;"")*(G$8:G$13&lt;H$8:H$13))</f>
        <v>0</v>
      </c>
      <c r="Q9" s="32">
        <f t="array" ref="Q9">SUM((E$8:E$13=M9)*(G$8:G$13&lt;&gt;"")*(G$8:G$13=H$8:H$13),(J$8:J$13=M9)*(H$8:H$13&lt;&gt;"")*(G$8:G$13=H$8:H$13))</f>
        <v>0</v>
      </c>
      <c r="R9" s="32">
        <f t="array" ref="R9">SUM((E$8:E$13=M9)*(H$8:H$13&lt;&gt;"")*(G$8:G$13&lt;&gt;"")*(G$8:G$13&lt;H$8:H$13),(G$8:G$13&lt;&gt;"")*(J$8:J$13=M9)*(H$8:H$13&lt;&gt;"")*(G$8:G$13&gt;H$8:H$13))</f>
        <v>0</v>
      </c>
      <c r="S9" s="31">
        <f t="array" ref="S9">SUM((E$8:E$13=M9)*(G$8:G$13)*(H$8:H$13&lt;&gt;""),(J$8:J$13=M9)*(H$8:H$13)*(G$8:G$13&lt;&gt;""))</f>
        <v>0</v>
      </c>
      <c r="T9" s="31">
        <f t="array" ref="T9">SUM((E$8:E$13=M9)*(G$8:G$13&lt;&gt;"")*(H$8:H$13),(J$8:J$13=M9)*(H$8:H$13&lt;&gt;"")*(G$8:G$13))</f>
        <v>0</v>
      </c>
      <c r="U9" s="33">
        <f>S9-T9</f>
        <v>0</v>
      </c>
    </row>
    <row r="10" spans="2:21" ht="15" customHeight="1" x14ac:dyDescent="0.25">
      <c r="B10" s="17">
        <v>44890</v>
      </c>
      <c r="C10" s="18">
        <v>0.29166666666666669</v>
      </c>
      <c r="D10" s="19" t="s">
        <v>63</v>
      </c>
      <c r="E10" s="20" t="s">
        <v>54</v>
      </c>
      <c r="F10" s="28"/>
      <c r="G10" s="22"/>
      <c r="H10" s="22"/>
      <c r="I10" s="28"/>
      <c r="J10" s="24" t="s">
        <v>50</v>
      </c>
      <c r="L10" s="29" t="str" cm="1">
        <f t="array" ref="L10">IF(O10=0,"",(SUMPRODUCT(((1000*N10+10*U10+S10)&lt; (1000*(N$9:N$12)+10*(U$9:U$12)+(S$9:S$12)))+0)+1))</f>
        <v/>
      </c>
      <c r="M10" s="30" t="s">
        <v>55</v>
      </c>
      <c r="N10" s="31">
        <f>(P10*3+Q10*1)</f>
        <v>0</v>
      </c>
      <c r="O10" s="32">
        <f>SUM(P10:R10)</f>
        <v>0</v>
      </c>
      <c r="P10" s="32">
        <f t="array" ref="P10">SUM((E$8:E$13=M10)*(G$8:G$13&lt;&gt;"")*(H$8:H$13&lt;&gt;"")*(G$8:G$13&gt;H$8:H$13),(J$8:J$13=M10)*(G$8:G$13&lt;&gt;"")*(H$8:H$13&lt;&gt;"")*(G$8:G$13&lt;H$8:H$13))</f>
        <v>0</v>
      </c>
      <c r="Q10" s="32">
        <f t="array" ref="Q10">SUM((E$8:E$13=M10)*(G$8:G$13&lt;&gt;"")*(G$8:G$13=H$8:H$13),(J$8:J$13=M10)*(H$8:H$13&lt;&gt;"")*(G$8:G$13=H$8:H$13))</f>
        <v>0</v>
      </c>
      <c r="R10" s="32">
        <f t="array" ref="R10">SUM((E$8:E$13=M10)*(H$8:H$13&lt;&gt;"")*(G$8:G$13&lt;&gt;"")*(G$8:G$13&lt;H$8:H$13),(G$8:G$13&lt;&gt;"")*(J$8:J$13=M10)*(H$8:H$13&lt;&gt;"")*(G$8:G$13&gt;H$8:H$13))</f>
        <v>0</v>
      </c>
      <c r="S10" s="31">
        <f t="array" ref="S10">SUM((E$8:E$13=M10)*(G$8:G$13)*(H$8:H$13&lt;&gt;""),(J$8:J$13=M10)*(H$8:H$13)*(G$8:G$13&lt;&gt;""))</f>
        <v>0</v>
      </c>
      <c r="T10" s="31">
        <f t="array" ref="T10">SUM((E$8:E$13=M10)*(G$8:G$13&lt;&gt;"")*(H$8:H$13),(J$8:J$13=M10)*(H$8:H$13&lt;&gt;"")*(G$8:G$13))</f>
        <v>0</v>
      </c>
      <c r="U10" s="33">
        <f>S10-T10</f>
        <v>0</v>
      </c>
    </row>
    <row r="11" spans="2:21" ht="15" customHeight="1" x14ac:dyDescent="0.25">
      <c r="B11" s="17">
        <v>44890</v>
      </c>
      <c r="C11" s="18">
        <v>0.41666666666666669</v>
      </c>
      <c r="D11" s="19" t="s">
        <v>69</v>
      </c>
      <c r="E11" s="20" t="s">
        <v>56</v>
      </c>
      <c r="F11" s="28"/>
      <c r="G11" s="22"/>
      <c r="H11" s="22"/>
      <c r="I11" s="28"/>
      <c r="J11" s="24" t="s">
        <v>55</v>
      </c>
      <c r="L11" s="29" t="str" cm="1">
        <f t="array" ref="L11">IF(O11=0,"",(SUMPRODUCT(((1000*N11+10*U11+S11)&lt; (1000*(N$9:N$12)+10*(U$9:U$12)+(S$9:S$12)))+0)+1))</f>
        <v/>
      </c>
      <c r="M11" s="30" t="s">
        <v>50</v>
      </c>
      <c r="N11" s="31">
        <f>(P11*3+Q11*1)</f>
        <v>0</v>
      </c>
      <c r="O11" s="32">
        <f>SUM(P11:R11)</f>
        <v>0</v>
      </c>
      <c r="P11" s="32">
        <f t="array" ref="P11">SUM((E$8:E$13=M11)*(G$8:G$13&lt;&gt;"")*(H$8:H$13&lt;&gt;"")*(G$8:G$13&gt;H$8:H$13),(J$8:J$13=M11)*(G$8:G$13&lt;&gt;"")*(H$8:H$13&lt;&gt;"")*(G$8:G$13&lt;H$8:H$13))</f>
        <v>0</v>
      </c>
      <c r="Q11" s="32">
        <f t="array" ref="Q11">SUM((E$8:E$13=M11)*(G$8:G$13&lt;&gt;"")*(G$8:G$13=H$8:H$13),(J$8:J$13=M11)*(H$8:H$13&lt;&gt;"")*(G$8:G$13=H$8:H$13))</f>
        <v>0</v>
      </c>
      <c r="R11" s="32">
        <f t="array" ref="R11">SUM((E$8:E$13=M11)*(H$8:H$13&lt;&gt;"")*(G$8:G$13&lt;&gt;"")*(G$8:G$13&lt;H$8:H$13),(G$8:G$13&lt;&gt;"")*(J$8:J$13=M11)*(H$8:H$13&lt;&gt;"")*(G$8:G$13&gt;H$8:H$13))</f>
        <v>0</v>
      </c>
      <c r="S11" s="31">
        <f t="array" ref="S11">SUM((E$8:E$13=M11)*(G$8:G$13)*(H$8:H$13&lt;&gt;""),(J$8:J$13=M11)*(H$8:H$13)*(G$8:G$13&lt;&gt;""))</f>
        <v>0</v>
      </c>
      <c r="T11" s="31">
        <f t="array" ref="T11">SUM((E$8:E$13=M11)*(G$8:G$13&lt;&gt;"")*(H$8:H$13),(J$8:J$13=M11)*(H$8:H$13&lt;&gt;"")*(G$8:G$13))</f>
        <v>0</v>
      </c>
      <c r="U11" s="33">
        <f>S11-T11</f>
        <v>0</v>
      </c>
    </row>
    <row r="12" spans="2:21" ht="15" customHeight="1" thickBot="1" x14ac:dyDescent="0.3">
      <c r="B12" s="17">
        <v>44894</v>
      </c>
      <c r="C12" s="18">
        <v>0.375</v>
      </c>
      <c r="D12" s="19" t="s">
        <v>64</v>
      </c>
      <c r="E12" s="20" t="s">
        <v>56</v>
      </c>
      <c r="F12" s="28"/>
      <c r="G12" s="22"/>
      <c r="H12" s="22"/>
      <c r="I12" s="28"/>
      <c r="J12" s="24" t="s">
        <v>54</v>
      </c>
      <c r="L12" s="34" t="str" cm="1">
        <f t="array" ref="L12">IF(O12=0,"",(SUMPRODUCT(((1000*N12+10*U12+S12)&lt; (1000*(N$9:N$12)+10*(U$9:U$12)+(S$9:S$12)))+0)+1))</f>
        <v/>
      </c>
      <c r="M12" s="35" t="s">
        <v>56</v>
      </c>
      <c r="N12" s="36">
        <f>(P12*3+Q12*1)</f>
        <v>0</v>
      </c>
      <c r="O12" s="37">
        <f>SUM(P12:R12)</f>
        <v>0</v>
      </c>
      <c r="P12" s="37">
        <f t="array" ref="P12">SUM((E$8:E$13=M12)*(G$8:G$13&lt;&gt;"")*(H$8:H$13&lt;&gt;"")*(G$8:G$13&gt;H$8:H$13),(J$8:J$13=M12)*(G$8:G$13&lt;&gt;"")*(H$8:H$13&lt;&gt;"")*(G$8:G$13&lt;H$8:H$13))</f>
        <v>0</v>
      </c>
      <c r="Q12" s="37">
        <f t="array" ref="Q12">SUM((E$8:E$13=M12)*(G$8:G$13&lt;&gt;"")*(G$8:G$13=H$8:H$13),(J$8:J$13=M12)*(H$8:H$13&lt;&gt;"")*(G$8:G$13=H$8:H$13))</f>
        <v>0</v>
      </c>
      <c r="R12" s="37">
        <f t="array" ref="R12">SUM((E$8:E$13=M12)*(H$8:H$13&lt;&gt;"")*(G$8:G$13&lt;&gt;"")*(G$8:G$13&lt;H$8:H$13),(G$8:G$13&lt;&gt;"")*(J$8:J$13=M12)*(H$8:H$13&lt;&gt;"")*(G$8:G$13&gt;H$8:H$13))</f>
        <v>0</v>
      </c>
      <c r="S12" s="36">
        <f t="array" ref="S12">SUM((E$8:E$13=M12)*(G$8:G$13)*(H$8:H$13&lt;&gt;""),(J$8:J$13=M12)*(H$8:H$13)*(G$8:G$13&lt;&gt;""))</f>
        <v>0</v>
      </c>
      <c r="T12" s="36">
        <f t="array" ref="T12">SUM((E$8:E$13=M12)*(G$8:G$13&lt;&gt;"")*(H$8:H$13),(J$8:J$13=M12)*(H$8:H$13&lt;&gt;"")*(G$8:G$13))</f>
        <v>0</v>
      </c>
      <c r="U12" s="38">
        <f>S12-T12</f>
        <v>0</v>
      </c>
    </row>
    <row r="13" spans="2:21" ht="15" customHeight="1" thickBot="1" x14ac:dyDescent="0.3">
      <c r="B13" s="39">
        <v>44894</v>
      </c>
      <c r="C13" s="40">
        <v>0.375</v>
      </c>
      <c r="D13" s="41" t="s">
        <v>69</v>
      </c>
      <c r="E13" s="42" t="s">
        <v>55</v>
      </c>
      <c r="F13" s="43"/>
      <c r="G13" s="44"/>
      <c r="H13" s="45"/>
      <c r="I13" s="43"/>
      <c r="J13" s="46" t="s">
        <v>50</v>
      </c>
    </row>
    <row r="14" spans="2:21" ht="15" customHeight="1" thickBot="1" x14ac:dyDescent="0.3"/>
    <row r="15" spans="2:21" ht="15" customHeight="1" thickBot="1" x14ac:dyDescent="0.3">
      <c r="B15" s="14" t="s">
        <v>1</v>
      </c>
      <c r="C15" s="15" t="s">
        <v>2</v>
      </c>
      <c r="D15" s="16" t="s">
        <v>3</v>
      </c>
      <c r="E15" s="119" t="s">
        <v>16</v>
      </c>
      <c r="F15" s="120"/>
      <c r="G15" s="119"/>
      <c r="H15" s="119"/>
      <c r="I15" s="120"/>
      <c r="J15" s="121"/>
    </row>
    <row r="16" spans="2:21" ht="15" customHeight="1" x14ac:dyDescent="0.25">
      <c r="B16" s="17">
        <v>44886</v>
      </c>
      <c r="C16" s="18">
        <v>0.29166666666666669</v>
      </c>
      <c r="D16" s="19" t="s">
        <v>69</v>
      </c>
      <c r="E16" s="20" t="s">
        <v>20</v>
      </c>
      <c r="F16" s="21"/>
      <c r="G16" s="22"/>
      <c r="H16" s="23"/>
      <c r="I16" s="21"/>
      <c r="J16" s="24" t="s">
        <v>52</v>
      </c>
      <c r="L16" s="25" t="s">
        <v>41</v>
      </c>
      <c r="M16" s="26" t="s">
        <v>5</v>
      </c>
      <c r="N16" s="26" t="s">
        <v>6</v>
      </c>
      <c r="O16" s="26" t="s">
        <v>7</v>
      </c>
      <c r="P16" s="26" t="s">
        <v>8</v>
      </c>
      <c r="Q16" s="26" t="s">
        <v>9</v>
      </c>
      <c r="R16" s="26" t="s">
        <v>10</v>
      </c>
      <c r="S16" s="26" t="s">
        <v>11</v>
      </c>
      <c r="T16" s="26" t="s">
        <v>12</v>
      </c>
      <c r="U16" s="27" t="s">
        <v>13</v>
      </c>
    </row>
    <row r="17" spans="2:21" ht="15" customHeight="1" x14ac:dyDescent="0.25">
      <c r="B17" s="17">
        <v>44886</v>
      </c>
      <c r="C17" s="18">
        <v>0.54166666666666663</v>
      </c>
      <c r="D17" s="19" t="s">
        <v>65</v>
      </c>
      <c r="E17" s="20" t="s">
        <v>57</v>
      </c>
      <c r="F17" s="28"/>
      <c r="G17" s="22"/>
      <c r="H17" s="23"/>
      <c r="I17" s="28"/>
      <c r="J17" s="108" t="s">
        <v>74</v>
      </c>
      <c r="L17" s="29" t="str" cm="1">
        <f t="array" ref="L17">IF(O17=0,"",(SUMPRODUCT(((1000*N17+10*U17+S17)&lt; (1000*(N$17:N$20)+10*(U$17:U$20)+(S$17:S$20)))+0)+1))</f>
        <v/>
      </c>
      <c r="M17" s="30" t="s">
        <v>20</v>
      </c>
      <c r="N17" s="31">
        <f>(P17*3+Q17*1)</f>
        <v>0</v>
      </c>
      <c r="O17" s="32">
        <f>SUM(P17:R17)</f>
        <v>0</v>
      </c>
      <c r="P17" s="32">
        <f t="array" ref="P17">SUM((E$16:E$21=M17)*(G$16:G$21&lt;&gt;"")*(H$16:H$21&lt;&gt;"")*(G$16:G$21&gt;H$16:H$21),(J$16:J$21=M17)*(G$16:G$21&lt;&gt;"")*(H$16:H$21&lt;&gt;"")*(G$16:G$21&lt;H$16:H$21))</f>
        <v>0</v>
      </c>
      <c r="Q17" s="32">
        <f t="array" ref="Q17">SUM((E$16:E$21=M17)*(G$16:G$21&lt;&gt;"")*(G$16:G$21=H$16:H$21),(J$16:J$21=M17)*(H$16:H$21&lt;&gt;"")*(G$16:G$21=H$16:H$21))</f>
        <v>0</v>
      </c>
      <c r="R17" s="32">
        <f t="array" ref="R17">SUM((E$16:E$21=M17)*(H$16:H$21&lt;&gt;"")*(G$16:G$21&lt;&gt;"")*(G$16:G$21&lt;H$16:H$21),(G$16:G$21&lt;&gt;"")*(J$16:J$21=M17)*(H$16:H$21&lt;&gt;"")*(G$16:G$21&gt;H$16:H$21))</f>
        <v>0</v>
      </c>
      <c r="S17" s="31">
        <f t="array" ref="S17">SUM((E$16:E$21=M17)*(G$16:G$21)*(H$16:H$21&lt;&gt;""),(J$16:J$21=M17)*(H$16:H$21)*(G$16:G$21&lt;&gt;""))</f>
        <v>0</v>
      </c>
      <c r="T17" s="31">
        <f t="array" ref="T17">SUM((E$16:E$21=M17)*(G$16:G$21&lt;&gt;"")*(H$16:H$21),(J$16:J$21=M17)*(H$16:H$21&lt;&gt;"")*(G$16:G$21))</f>
        <v>0</v>
      </c>
      <c r="U17" s="33">
        <f>S17-T17</f>
        <v>0</v>
      </c>
    </row>
    <row r="18" spans="2:21" ht="15" customHeight="1" x14ac:dyDescent="0.25">
      <c r="B18" s="17">
        <v>44890</v>
      </c>
      <c r="C18" s="18">
        <v>0.54166666666666663</v>
      </c>
      <c r="D18" s="19" t="s">
        <v>64</v>
      </c>
      <c r="E18" s="20" t="s">
        <v>20</v>
      </c>
      <c r="F18" s="28"/>
      <c r="G18" s="22"/>
      <c r="H18" s="23"/>
      <c r="I18" s="28"/>
      <c r="J18" s="24" t="s">
        <v>57</v>
      </c>
      <c r="L18" s="29" t="str" cm="1">
        <f t="array" ref="L18">IF(O18=0,"",(SUMPRODUCT(((1000*N18+10*U18+S18)&lt; (1000*(N$17:N$20)+10*(U$17:U$20)+(S$17:S$20)))+0)+1))</f>
        <v/>
      </c>
      <c r="M18" s="30" t="s">
        <v>52</v>
      </c>
      <c r="N18" s="31">
        <f>(P18*3+Q18*1)</f>
        <v>0</v>
      </c>
      <c r="O18" s="32">
        <f>SUM(P18:R18)</f>
        <v>0</v>
      </c>
      <c r="P18" s="32">
        <f t="array" ref="P18">SUM((E$16:E$21=M18)*(G$16:G$21&lt;&gt;"")*(H$16:H$21&lt;&gt;"")*(G$16:G$21&gt;H$16:H$21),(J$16:J$21=M18)*(G$16:G$21&lt;&gt;"")*(H$16:H$21&lt;&gt;"")*(G$16:G$21&lt;H$16:H$21))</f>
        <v>0</v>
      </c>
      <c r="Q18" s="32">
        <f t="array" ref="Q18">SUM((E$16:E$21=M18)*(G$16:G$21&lt;&gt;"")*(G$16:G$21=H$16:H$21),(J$16:J$21=M18)*(H$16:H$21&lt;&gt;"")*(G$16:G$21=H$16:H$21))</f>
        <v>0</v>
      </c>
      <c r="R18" s="32">
        <f t="array" ref="R18">SUM((E$16:E$21=M18)*(H$16:H$21&lt;&gt;"")*(G$16:G$21&lt;&gt;"")*(G$16:G$21&lt;H$16:H$21),(G$16:G$21&lt;&gt;"")*(J$16:J$21=M18)*(H$16:H$21&lt;&gt;"")*(G$16:G$21&gt;H$16:H$21))</f>
        <v>0</v>
      </c>
      <c r="S18" s="31">
        <f t="array" ref="S18">SUM((E$16:E$21=M18)*(G$16:G$21)*(H$16:H$21&lt;&gt;""),(J$16:J$21=M18)*(H$16:H$21)*(G$16:G$21&lt;&gt;""))</f>
        <v>0</v>
      </c>
      <c r="T18" s="31">
        <f t="array" ref="T18">SUM((E$16:E$21=M18)*(G$16:G$21&lt;&gt;"")*(H$16:H$21),(J$16:J$21=M18)*(H$16:H$21&lt;&gt;"")*(G$16:G$21))</f>
        <v>0</v>
      </c>
      <c r="U18" s="33">
        <f>S18-T18</f>
        <v>0</v>
      </c>
    </row>
    <row r="19" spans="2:21" ht="15" customHeight="1" x14ac:dyDescent="0.25">
      <c r="B19" s="17">
        <v>44890</v>
      </c>
      <c r="C19" s="18">
        <v>0.16666666666666666</v>
      </c>
      <c r="D19" s="19" t="s">
        <v>65</v>
      </c>
      <c r="E19" s="23" t="s">
        <v>74</v>
      </c>
      <c r="F19" s="28"/>
      <c r="G19" s="22"/>
      <c r="H19" s="23"/>
      <c r="I19" s="28"/>
      <c r="J19" s="24" t="s">
        <v>52</v>
      </c>
      <c r="L19" s="29" t="str" cm="1">
        <f t="array" ref="L19">IF(O19=0,"",(SUMPRODUCT(((1000*N19+10*U19+S19)&lt; (1000*(N$17:N$20)+10*(U$17:U$20)+(S$17:S$20)))+0)+1))</f>
        <v/>
      </c>
      <c r="M19" s="30" t="s">
        <v>57</v>
      </c>
      <c r="N19" s="31">
        <f>(P19*3+Q19*1)</f>
        <v>0</v>
      </c>
      <c r="O19" s="32">
        <f>SUM(P19:R19)</f>
        <v>0</v>
      </c>
      <c r="P19" s="32">
        <f t="array" ref="P19">SUM((E$16:E$21=M19)*(G$16:G$21&lt;&gt;"")*(H$16:H$21&lt;&gt;"")*(G$16:G$21&gt;H$16:H$21),(J$16:J$21=M19)*(G$16:G$21&lt;&gt;"")*(H$16:H$21&lt;&gt;"")*(G$16:G$21&lt;H$16:H$21))</f>
        <v>0</v>
      </c>
      <c r="Q19" s="32">
        <f t="array" ref="Q19">SUM((E$16:E$21=M19)*(G$16:G$21&lt;&gt;"")*(G$16:G$21=H$16:H$21),(J$16:J$21=M19)*(H$16:H$21&lt;&gt;"")*(G$16:G$21=H$16:H$21))</f>
        <v>0</v>
      </c>
      <c r="R19" s="32">
        <f t="array" ref="R19">SUM((E$16:E$21=M19)*(H$16:H$21&lt;&gt;"")*(G$16:G$21&lt;&gt;"")*(G$16:G$21&lt;H$16:H$21),(G$16:G$21&lt;&gt;"")*(J$16:J$21=M19)*(H$16:H$21&lt;&gt;"")*(G$16:G$21&gt;H$16:H$21))</f>
        <v>0</v>
      </c>
      <c r="S19" s="31">
        <f t="array" ref="S19">SUM((E$16:E$21=M19)*(G$16:G$21)*(H$16:H$21&lt;&gt;""),(J$16:J$21=M19)*(H$16:H$21)*(G$16:G$21&lt;&gt;""))</f>
        <v>0</v>
      </c>
      <c r="T19" s="31">
        <f t="array" ref="T19">SUM((E$16:E$21=M19)*(G$16:G$21&lt;&gt;"")*(H$16:H$21),(J$16:J$21=M19)*(H$16:H$21&lt;&gt;"")*(G$16:G$21))</f>
        <v>0</v>
      </c>
      <c r="U19" s="33">
        <f>S19-T19</f>
        <v>0</v>
      </c>
    </row>
    <row r="20" spans="2:21" ht="15" customHeight="1" thickBot="1" x14ac:dyDescent="0.3">
      <c r="B20" s="17">
        <v>44894</v>
      </c>
      <c r="C20" s="18">
        <v>0.54166666666666663</v>
      </c>
      <c r="D20" s="19" t="s">
        <v>65</v>
      </c>
      <c r="E20" s="23" t="s">
        <v>74</v>
      </c>
      <c r="F20" s="28"/>
      <c r="G20" s="22"/>
      <c r="H20" s="23"/>
      <c r="I20" s="28"/>
      <c r="J20" s="24" t="s">
        <v>20</v>
      </c>
      <c r="L20" s="34" t="str" cm="1">
        <f t="array" ref="L20">IF(O20=0,"",(SUMPRODUCT(((1000*N20+10*U20+S20)&lt; (1000*(N$17:N$20)+10*(U$17:U$20)+(S$17:S$20)))+0)+1))</f>
        <v/>
      </c>
      <c r="M20" s="107" t="s">
        <v>74</v>
      </c>
      <c r="N20" s="36">
        <f>(P20*3+Q20*1)</f>
        <v>0</v>
      </c>
      <c r="O20" s="37">
        <f>SUM(P20:R20)</f>
        <v>0</v>
      </c>
      <c r="P20" s="37">
        <f t="array" ref="P20">SUM((E$16:E$21=M20)*(G$16:G$21&lt;&gt;"")*(H$16:H$21&lt;&gt;"")*(G$16:G$21&gt;H$16:H$21),(J$16:J$21=M20)*(G$16:G$21&lt;&gt;"")*(H$16:H$21&lt;&gt;"")*(G$16:G$21&lt;H$16:H$21))</f>
        <v>0</v>
      </c>
      <c r="Q20" s="37">
        <f t="array" ref="Q20">SUM((E$16:E$21=M20)*(G$16:G$21&lt;&gt;"")*(G$16:G$21=H$16:H$21),(J$16:J$21=M20)*(H$16:H$21&lt;&gt;"")*(G$16:G$21=H$16:H$21))</f>
        <v>0</v>
      </c>
      <c r="R20" s="37">
        <f t="array" ref="R20">SUM((E$16:E$21=M20)*(H$16:H$21&lt;&gt;"")*(G$16:G$21&lt;&gt;"")*(G$16:G$21&lt;H$16:H$21),(G$16:G$21&lt;&gt;"")*(J$16:J$21=M20)*(H$16:H$21&lt;&gt;"")*(G$16:G$21&gt;H$16:H$21))</f>
        <v>0</v>
      </c>
      <c r="S20" s="36">
        <f t="array" ref="S20">SUM((E$16:E$21=M20)*(G$16:G$21)*(H$16:H$21&lt;&gt;""),(J$16:J$21=M20)*(H$16:H$21)*(G$16:G$21&lt;&gt;""))</f>
        <v>0</v>
      </c>
      <c r="T20" s="36">
        <f t="array" ref="T20">SUM((E$16:E$21=M20)*(G$16:G$21&lt;&gt;"")*(H$16:H$21),(J$16:J$21=M20)*(H$16:H$21&lt;&gt;"")*(G$16:G$21))</f>
        <v>0</v>
      </c>
      <c r="U20" s="38">
        <f>S20-T20</f>
        <v>0</v>
      </c>
    </row>
    <row r="21" spans="2:21" ht="15" customHeight="1" thickBot="1" x14ac:dyDescent="0.3">
      <c r="B21" s="39">
        <v>44894</v>
      </c>
      <c r="C21" s="40">
        <v>0.54166666666666663</v>
      </c>
      <c r="D21" s="41" t="s">
        <v>63</v>
      </c>
      <c r="E21" s="42" t="s">
        <v>52</v>
      </c>
      <c r="F21" s="43"/>
      <c r="G21" s="44"/>
      <c r="H21" s="45"/>
      <c r="I21" s="43"/>
      <c r="J21" s="46" t="s">
        <v>57</v>
      </c>
    </row>
    <row r="22" spans="2:21" ht="15" customHeight="1" thickBot="1" x14ac:dyDescent="0.3"/>
    <row r="23" spans="2:21" ht="15" customHeight="1" thickBot="1" x14ac:dyDescent="0.3">
      <c r="B23" s="14" t="s">
        <v>1</v>
      </c>
      <c r="C23" s="15" t="s">
        <v>2</v>
      </c>
      <c r="D23" s="16" t="s">
        <v>3</v>
      </c>
      <c r="E23" s="119" t="s">
        <v>19</v>
      </c>
      <c r="F23" s="120"/>
      <c r="G23" s="119"/>
      <c r="H23" s="119"/>
      <c r="I23" s="120"/>
      <c r="J23" s="121"/>
    </row>
    <row r="24" spans="2:21" ht="15" customHeight="1" x14ac:dyDescent="0.25">
      <c r="B24" s="17">
        <v>44887</v>
      </c>
      <c r="C24" s="18">
        <v>0.16666666666666666</v>
      </c>
      <c r="D24" s="19" t="s">
        <v>71</v>
      </c>
      <c r="E24" s="20" t="s">
        <v>17</v>
      </c>
      <c r="F24" s="21"/>
      <c r="G24" s="22"/>
      <c r="H24" s="23"/>
      <c r="I24" s="21"/>
      <c r="J24" s="24" t="s">
        <v>58</v>
      </c>
      <c r="L24" s="25" t="s">
        <v>41</v>
      </c>
      <c r="M24" s="26" t="s">
        <v>5</v>
      </c>
      <c r="N24" s="26" t="s">
        <v>6</v>
      </c>
      <c r="O24" s="26" t="s">
        <v>7</v>
      </c>
      <c r="P24" s="26" t="s">
        <v>8</v>
      </c>
      <c r="Q24" s="26" t="s">
        <v>9</v>
      </c>
      <c r="R24" s="26" t="s">
        <v>10</v>
      </c>
      <c r="S24" s="26" t="s">
        <v>11</v>
      </c>
      <c r="T24" s="26" t="s">
        <v>12</v>
      </c>
      <c r="U24" s="27" t="s">
        <v>13</v>
      </c>
    </row>
    <row r="25" spans="2:21" ht="15" customHeight="1" x14ac:dyDescent="0.25">
      <c r="B25" s="17">
        <v>44887</v>
      </c>
      <c r="C25" s="18">
        <v>0.41666666666666669</v>
      </c>
      <c r="D25" s="19" t="s">
        <v>67</v>
      </c>
      <c r="E25" s="20" t="s">
        <v>47</v>
      </c>
      <c r="F25" s="28"/>
      <c r="G25" s="22"/>
      <c r="H25" s="23"/>
      <c r="I25" s="28"/>
      <c r="J25" s="24" t="s">
        <v>49</v>
      </c>
      <c r="L25" s="29" t="str" cm="1">
        <f t="array" ref="L25">IF(O25=0,"",(SUMPRODUCT(((1000*N25+10*U25+S25)&lt; (1000*(N$25:N$28)+10*(U$25:U$28)+(S$25:S$28)))+0)+1))</f>
        <v/>
      </c>
      <c r="M25" s="30" t="s">
        <v>17</v>
      </c>
      <c r="N25" s="31">
        <f>(P25*3+Q25*1)</f>
        <v>0</v>
      </c>
      <c r="O25" s="32">
        <f>SUM(P25:R25)</f>
        <v>0</v>
      </c>
      <c r="P25" s="32">
        <f t="array" ref="P25">SUM((E$24:E$29=M25)*(G$24:G$29&lt;&gt;"")*(H$24:H$29&lt;&gt;"")*(G$24:G$29&gt;H$24:H$29),(J$24:J$29=M25)*(G$24:G$29&lt;&gt;"")*(H$24:H$29&lt;&gt;"")*(G$24:G$29&lt;H$24:H$29))</f>
        <v>0</v>
      </c>
      <c r="Q25" s="32">
        <f t="array" ref="Q25">SUM((E$24:E$29=M25)*(G$24:G$29&lt;&gt;"")*(G$24:G$29=H$24:H$29),(J$24:J$29=M25)*(H$24:H$29&lt;&gt;"")*(G$24:G$29=H$24:H$29))</f>
        <v>0</v>
      </c>
      <c r="R25" s="32">
        <f t="array" ref="R25">SUM((E$24:E$29=M25)*(H$24:H$29&lt;&gt;"")*(G$24:G$29&lt;&gt;"")*(G$24:G$29&lt;H$24:H$29),(G$24:G$29&lt;&gt;"")*(J$24:J$29=M25)*(H$24:H$29&lt;&gt;"")*(G$24:G$29&gt;H$24:H$29))</f>
        <v>0</v>
      </c>
      <c r="S25" s="31">
        <f t="array" ref="S25">SUM((E$24:E$29=M25)*(G$24:G$29)*(H$24:H$29&lt;&gt;""),(J$24:J$29=M25)*(H$24:H$29)*(G$24:G$29&lt;&gt;""))</f>
        <v>0</v>
      </c>
      <c r="T25" s="31">
        <f t="array" ref="T25">SUM((E$24:E$29=M25)*(G$24:G$29&lt;&gt;"")*(H$24:H$29),(J$24:J$29=M25)*(H$24:H$29&lt;&gt;"")*(G$24:G$29))</f>
        <v>0</v>
      </c>
      <c r="U25" s="33">
        <f>S25-T25</f>
        <v>0</v>
      </c>
    </row>
    <row r="26" spans="2:21" ht="15" customHeight="1" x14ac:dyDescent="0.25">
      <c r="B26" s="17">
        <v>44891</v>
      </c>
      <c r="C26" s="18">
        <v>0.54166666666666663</v>
      </c>
      <c r="D26" s="19" t="s">
        <v>71</v>
      </c>
      <c r="E26" s="20" t="s">
        <v>17</v>
      </c>
      <c r="F26" s="28"/>
      <c r="G26" s="22"/>
      <c r="H26" s="23"/>
      <c r="I26" s="28"/>
      <c r="J26" s="24" t="s">
        <v>47</v>
      </c>
      <c r="L26" s="29" t="str" cm="1">
        <f t="array" ref="L26">IF(O26=0,"",(SUMPRODUCT(((1000*N26+10*U26+S26)&lt; (1000*(N$25:N$28)+10*(U$25:U$28)+(S$25:S$28)))+0)+1))</f>
        <v/>
      </c>
      <c r="M26" s="30" t="s">
        <v>58</v>
      </c>
      <c r="N26" s="31">
        <f>(P26*3+Q26*1)</f>
        <v>0</v>
      </c>
      <c r="O26" s="32">
        <f>SUM(P26:R26)</f>
        <v>0</v>
      </c>
      <c r="P26" s="32">
        <f t="array" ref="P26">SUM((E$24:E$29=M26)*(G$24:G$29&lt;&gt;"")*(H$24:H$29&lt;&gt;"")*(G$24:G$29&gt;H$24:H$29),(J$24:J$29=M26)*(G$24:G$29&lt;&gt;"")*(H$24:H$29&lt;&gt;"")*(G$24:G$29&lt;H$24:H$29))</f>
        <v>0</v>
      </c>
      <c r="Q26" s="32">
        <f t="array" ref="Q26">SUM((E$24:E$29=M26)*(G$24:G$29&lt;&gt;"")*(G$24:G$29=H$24:H$29),(J$24:J$29=M26)*(H$24:H$29&lt;&gt;"")*(G$24:G$29=H$24:H$29))</f>
        <v>0</v>
      </c>
      <c r="R26" s="32">
        <f t="array" ref="R26">SUM((E$24:E$29=M26)*(H$24:H$29&lt;&gt;"")*(G$24:G$29&lt;&gt;"")*(G$24:G$29&lt;H$24:H$29),(G$24:G$29&lt;&gt;"")*(J$24:J$29=M26)*(H$24:H$29&lt;&gt;"")*(G$24:G$29&gt;H$24:H$29))</f>
        <v>0</v>
      </c>
      <c r="S26" s="31">
        <f t="array" ref="S26">SUM((E$24:E$29=M26)*(G$24:G$29)*(H$24:H$29&lt;&gt;""),(J$24:J$29=M26)*(H$24:H$29)*(G$24:G$29&lt;&gt;""))</f>
        <v>0</v>
      </c>
      <c r="T26" s="31">
        <f t="array" ref="T26">SUM((E$24:E$29=M26)*(G$24:G$29&lt;&gt;"")*(H$24:H$29),(J$24:J$29=M26)*(H$24:H$29&lt;&gt;"")*(G$24:G$29))</f>
        <v>0</v>
      </c>
      <c r="U26" s="33">
        <f>S26-T26</f>
        <v>0</v>
      </c>
    </row>
    <row r="27" spans="2:21" ht="15" customHeight="1" x14ac:dyDescent="0.25">
      <c r="B27" s="17">
        <v>44891</v>
      </c>
      <c r="C27" s="18">
        <v>0.29166666666666669</v>
      </c>
      <c r="D27" s="19" t="s">
        <v>66</v>
      </c>
      <c r="E27" s="20" t="s">
        <v>49</v>
      </c>
      <c r="F27" s="28"/>
      <c r="G27" s="22"/>
      <c r="H27" s="23"/>
      <c r="I27" s="28"/>
      <c r="J27" s="24" t="s">
        <v>58</v>
      </c>
      <c r="L27" s="29" t="str" cm="1">
        <f t="array" ref="L27">IF(O27=0,"",(SUMPRODUCT(((1000*N27+10*U27+S27)&lt; (1000*(N$25:N$28)+10*(U$25:U$28)+(S$25:S$28)))+0)+1))</f>
        <v/>
      </c>
      <c r="M27" s="30" t="s">
        <v>47</v>
      </c>
      <c r="N27" s="31">
        <f>(P27*3+Q27*1)</f>
        <v>0</v>
      </c>
      <c r="O27" s="32">
        <f>SUM(P27:R27)</f>
        <v>0</v>
      </c>
      <c r="P27" s="32">
        <f t="array" ref="P27">SUM((E$24:E$29=M27)*(G$24:G$29&lt;&gt;"")*(H$24:H$29&lt;&gt;"")*(G$24:G$29&gt;H$24:H$29),(J$24:J$29=M27)*(G$24:G$29&lt;&gt;"")*(H$24:H$29&lt;&gt;"")*(G$24:G$29&lt;H$24:H$29))</f>
        <v>0</v>
      </c>
      <c r="Q27" s="32">
        <f t="array" ref="Q27">SUM((E$24:E$29=M27)*(G$24:G$29&lt;&gt;"")*(G$24:G$29=H$24:H$29),(J$24:J$29=M27)*(H$24:H$29&lt;&gt;"")*(G$24:G$29=H$24:H$29))</f>
        <v>0</v>
      </c>
      <c r="R27" s="32">
        <f t="array" ref="R27">SUM((E$24:E$29=M27)*(H$24:H$29&lt;&gt;"")*(G$24:G$29&lt;&gt;"")*(G$24:G$29&lt;H$24:H$29),(G$24:G$29&lt;&gt;"")*(J$24:J$29=M27)*(H$24:H$29&lt;&gt;"")*(G$24:G$29&gt;H$24:H$29))</f>
        <v>0</v>
      </c>
      <c r="S27" s="31">
        <f t="array" ref="S27">SUM((E$24:E$29=M27)*(G$24:G$29)*(H$24:H$29&lt;&gt;""),(J$24:J$29=M27)*(H$24:H$29)*(G$24:G$29&lt;&gt;""))</f>
        <v>0</v>
      </c>
      <c r="T27" s="31">
        <f t="array" ref="T27">SUM((E$24:E$29=M27)*(G$24:G$29&lt;&gt;"")*(H$24:H$29),(J$24:J$29=M27)*(H$24:H$29&lt;&gt;"")*(G$24:G$29))</f>
        <v>0</v>
      </c>
      <c r="U27" s="33">
        <f>S27-T27</f>
        <v>0</v>
      </c>
    </row>
    <row r="28" spans="2:21" ht="15" customHeight="1" thickBot="1" x14ac:dyDescent="0.3">
      <c r="B28" s="17">
        <v>44895</v>
      </c>
      <c r="C28" s="18">
        <v>0.54166666666666663</v>
      </c>
      <c r="D28" s="19" t="s">
        <v>67</v>
      </c>
      <c r="E28" s="20" t="s">
        <v>49</v>
      </c>
      <c r="F28" s="28"/>
      <c r="G28" s="22"/>
      <c r="H28" s="23"/>
      <c r="I28" s="28"/>
      <c r="J28" s="24" t="s">
        <v>17</v>
      </c>
      <c r="L28" s="29" t="str" cm="1">
        <f t="array" ref="L28">IF(O28=0,"",(SUMPRODUCT(((1000*N28+10*U28+S28)&lt; (1000*(N$25:N$28)+10*(U$25:U$28)+(S$25:S$28)))+0)+1))</f>
        <v/>
      </c>
      <c r="M28" s="30" t="s">
        <v>49</v>
      </c>
      <c r="N28" s="36">
        <f>(P28*3+Q28*1)</f>
        <v>0</v>
      </c>
      <c r="O28" s="37">
        <f>SUM(P28:R28)</f>
        <v>0</v>
      </c>
      <c r="P28" s="37">
        <f t="array" ref="P28">SUM((E$24:E$29=M28)*(G$24:G$29&lt;&gt;"")*(H$24:H$29&lt;&gt;"")*(G$24:G$29&gt;H$24:H$29),(J$24:J$29=M28)*(G$24:G$29&lt;&gt;"")*(H$24:H$29&lt;&gt;"")*(G$24:G$29&lt;H$24:H$29))</f>
        <v>0</v>
      </c>
      <c r="Q28" s="37">
        <f t="array" ref="Q28">SUM((E$24:E$29=M28)*(G$24:G$29&lt;&gt;"")*(G$24:G$29=H$24:H$29),(J$24:J$29=M28)*(H$24:H$29&lt;&gt;"")*(G$24:G$29=H$24:H$29))</f>
        <v>0</v>
      </c>
      <c r="R28" s="37">
        <f t="array" ref="R28">SUM((E$24:E$29=M28)*(H$24:H$29&lt;&gt;"")*(G$24:G$29&lt;&gt;"")*(G$24:G$29&lt;H$24:H$29),(G$24:G$29&lt;&gt;"")*(J$24:J$29=M28)*(H$24:H$29&lt;&gt;"")*(G$24:G$29&gt;H$24:H$29))</f>
        <v>0</v>
      </c>
      <c r="S28" s="36">
        <f t="array" ref="S28">SUM((E$24:E$29=M28)*(G$24:G$29)*(H$24:H$29&lt;&gt;""),(J$24:J$29=M28)*(H$24:H$29)*(G$24:G$29&lt;&gt;""))</f>
        <v>0</v>
      </c>
      <c r="T28" s="36">
        <f t="array" ref="T28">SUM((E$24:E$29=M28)*(G$24:G$29&lt;&gt;"")*(H$24:H$29),(J$24:J$29=M28)*(H$24:H$29&lt;&gt;"")*(G$24:G$29))</f>
        <v>0</v>
      </c>
      <c r="U28" s="38">
        <f>S28-T28</f>
        <v>0</v>
      </c>
    </row>
    <row r="29" spans="2:21" ht="15" customHeight="1" thickBot="1" x14ac:dyDescent="0.3">
      <c r="B29" s="39">
        <v>44895</v>
      </c>
      <c r="C29" s="40">
        <v>0.54166666666666663</v>
      </c>
      <c r="D29" s="41" t="s">
        <v>71</v>
      </c>
      <c r="E29" s="42" t="s">
        <v>58</v>
      </c>
      <c r="F29" s="43"/>
      <c r="G29" s="44"/>
      <c r="H29" s="45"/>
      <c r="I29" s="43"/>
      <c r="J29" s="46" t="s">
        <v>47</v>
      </c>
    </row>
    <row r="30" spans="2:21" ht="15" customHeight="1" thickBot="1" x14ac:dyDescent="0.3"/>
    <row r="31" spans="2:21" ht="15" customHeight="1" thickBot="1" x14ac:dyDescent="0.3">
      <c r="B31" s="14" t="s">
        <v>1</v>
      </c>
      <c r="C31" s="15" t="s">
        <v>2</v>
      </c>
      <c r="D31" s="16" t="s">
        <v>3</v>
      </c>
      <c r="E31" s="119" t="s">
        <v>21</v>
      </c>
      <c r="F31" s="120"/>
      <c r="G31" s="119"/>
      <c r="H31" s="119"/>
      <c r="I31" s="120"/>
      <c r="J31" s="121"/>
    </row>
    <row r="32" spans="2:21" ht="15" customHeight="1" x14ac:dyDescent="0.25">
      <c r="B32" s="17">
        <v>44887</v>
      </c>
      <c r="C32" s="18">
        <v>0.54166666666666663</v>
      </c>
      <c r="D32" s="19" t="s">
        <v>68</v>
      </c>
      <c r="E32" s="20" t="s">
        <v>15</v>
      </c>
      <c r="F32" s="21"/>
      <c r="G32" s="22"/>
      <c r="H32" s="23"/>
      <c r="I32" s="21"/>
      <c r="J32" s="122" t="s">
        <v>75</v>
      </c>
      <c r="L32" s="25" t="s">
        <v>41</v>
      </c>
      <c r="M32" s="26" t="s">
        <v>5</v>
      </c>
      <c r="N32" s="26" t="s">
        <v>6</v>
      </c>
      <c r="O32" s="26" t="s">
        <v>7</v>
      </c>
      <c r="P32" s="26" t="s">
        <v>8</v>
      </c>
      <c r="Q32" s="26" t="s">
        <v>9</v>
      </c>
      <c r="R32" s="26" t="s">
        <v>10</v>
      </c>
      <c r="S32" s="26" t="s">
        <v>11</v>
      </c>
      <c r="T32" s="26" t="s">
        <v>12</v>
      </c>
      <c r="U32" s="27" t="s">
        <v>13</v>
      </c>
    </row>
    <row r="33" spans="2:21" ht="15" customHeight="1" x14ac:dyDescent="0.25">
      <c r="B33" s="17">
        <v>44887</v>
      </c>
      <c r="C33" s="18">
        <v>0.29166666666666669</v>
      </c>
      <c r="D33" s="19" t="s">
        <v>66</v>
      </c>
      <c r="E33" s="20" t="s">
        <v>44</v>
      </c>
      <c r="F33" s="28"/>
      <c r="G33" s="22"/>
      <c r="H33" s="23"/>
      <c r="I33" s="28"/>
      <c r="J33" s="24" t="s">
        <v>46</v>
      </c>
      <c r="L33" s="29" t="str" cm="1">
        <f t="array" ref="L33">IF(O33=0,"",(SUMPRODUCT(((1000*N33+10*U33+S33)&lt; (1000*(N$33:N$36)+10*(U$33:U$36)+(S$33:S$36)))+0)+1))</f>
        <v/>
      </c>
      <c r="M33" s="30" t="s">
        <v>15</v>
      </c>
      <c r="N33" s="31">
        <f>(P33*3+Q33*1)</f>
        <v>0</v>
      </c>
      <c r="O33" s="32">
        <f>SUM(P33:R33)</f>
        <v>0</v>
      </c>
      <c r="P33" s="32">
        <f t="array" ref="P33">SUM((E$32:E$37=M33)*(G$32:G$37&lt;&gt;"")*(H$32:H$37&lt;&gt;"")*(G$32:G$37&gt;H$32:H$37),(J$32:J$37=M33)*(G$32:G$37&lt;&gt;"")*(H$32:H$37&lt;&gt;"")*(G$32:G$37&lt;H$32:H$37))</f>
        <v>0</v>
      </c>
      <c r="Q33" s="32">
        <f t="array" ref="Q33">SUM((E$32:E$37=M33)*(G$32:G$37&lt;&gt;"")*(G$32:G$37=H$32:H$37),(J$32:J$37=M33)*(H$32:H$37&lt;&gt;"")*(G$32:G$37=H$32:H$37))</f>
        <v>0</v>
      </c>
      <c r="R33" s="32">
        <f t="array" ref="R33">SUM((E$32:E$37=M33)*(H$32:H$37&lt;&gt;"")*(G$32:G$37&lt;&gt;"")*(G$32:G$37&lt;H$32:H$37),(G$32:G$37&lt;&gt;"")*(J$32:J$37=M33)*(H$32:H$37&lt;&gt;"")*(G$32:G$37&gt;H$32:H$37))</f>
        <v>0</v>
      </c>
      <c r="S33" s="31">
        <f t="array" ref="S33">SUM((E$32:E$37=M33)*(G$32:G$37)*(H$32:H$37&lt;&gt;""),(J$32:J$37=M33)*(H$32:H$37)*(G$32:G$37&lt;&gt;""))</f>
        <v>0</v>
      </c>
      <c r="T33" s="31">
        <f t="array" ref="T33">SUM((E$32:E$37=M33)*(G$32:G$37&lt;&gt;"")*(H$32:H$37),(J$32:J$37=M33)*(H$32:H$37&lt;&gt;"")*(G$32:G$37))</f>
        <v>0</v>
      </c>
      <c r="U33" s="33">
        <f>S33-T33</f>
        <v>0</v>
      </c>
    </row>
    <row r="34" spans="2:21" ht="15" customHeight="1" x14ac:dyDescent="0.25">
      <c r="B34" s="17">
        <v>44867</v>
      </c>
      <c r="C34" s="18">
        <v>0.41666666666666669</v>
      </c>
      <c r="D34" s="19" t="s">
        <v>67</v>
      </c>
      <c r="E34" s="20" t="s">
        <v>15</v>
      </c>
      <c r="F34" s="28"/>
      <c r="G34" s="22"/>
      <c r="H34" s="23"/>
      <c r="I34" s="28"/>
      <c r="J34" s="24" t="s">
        <v>44</v>
      </c>
      <c r="L34" s="29" t="str" cm="1">
        <f t="array" ref="L34">IF(O34=0,"",(SUMPRODUCT(((1000*N34+10*U34+S34)&lt; (1000*(N$33:N$36)+10*(U$33:U$36)+(S$33:S$36)))+0)+1))</f>
        <v/>
      </c>
      <c r="M34" s="109" t="s">
        <v>75</v>
      </c>
      <c r="N34" s="31">
        <f>(P34*3+Q34*1)</f>
        <v>0</v>
      </c>
      <c r="O34" s="32">
        <f>SUM(P34:R34)</f>
        <v>0</v>
      </c>
      <c r="P34" s="32">
        <f t="array" ref="P34">SUM((E$32:E$37=M34)*(G$32:G$37&lt;&gt;"")*(H$32:H$37&lt;&gt;"")*(G$32:G$37&gt;H$32:H$37),(J$32:J$37=M34)*(G$32:G$37&lt;&gt;"")*(H$32:H$37&lt;&gt;"")*(G$32:G$37&lt;H$32:H$37))</f>
        <v>0</v>
      </c>
      <c r="Q34" s="32">
        <f t="array" ref="Q34">SUM((E$32:E$37=M34)*(G$32:G$37&lt;&gt;"")*(G$32:G$37=H$32:H$37),(J$32:J$37=M34)*(H$32:H$37&lt;&gt;"")*(G$32:G$37=H$32:H$37))</f>
        <v>0</v>
      </c>
      <c r="R34" s="32">
        <f t="array" ref="R34">SUM((E$32:E$37=M34)*(H$32:H$37&lt;&gt;"")*(G$32:G$37&lt;&gt;"")*(G$32:G$37&lt;H$32:H$37),(G$32:G$37&lt;&gt;"")*(J$32:J$37=M34)*(H$32:H$37&lt;&gt;"")*(G$32:G$37&gt;H$32:H$37))</f>
        <v>0</v>
      </c>
      <c r="S34" s="31">
        <f t="array" ref="S34">SUM((E$32:E$37=M34)*(G$32:G$37)*(H$32:H$37&lt;&gt;""),(J$32:J$37=M34)*(H$32:H$37)*(G$32:G$37&lt;&gt;""))</f>
        <v>0</v>
      </c>
      <c r="T34" s="31">
        <f t="array" ref="T34">SUM((E$32:E$37=M34)*(G$32:G$37&lt;&gt;"")*(H$32:H$37),(J$32:J$37=M34)*(H$32:H$37&lt;&gt;"")*(G$32:G$37))</f>
        <v>0</v>
      </c>
      <c r="U34" s="33">
        <f>S34-T34</f>
        <v>0</v>
      </c>
    </row>
    <row r="35" spans="2:21" ht="15" customHeight="1" x14ac:dyDescent="0.25">
      <c r="B35" s="17">
        <v>44891</v>
      </c>
      <c r="C35" s="18">
        <v>4</v>
      </c>
      <c r="D35" s="19" t="s">
        <v>68</v>
      </c>
      <c r="E35" s="20" t="s">
        <v>46</v>
      </c>
      <c r="F35" s="28"/>
      <c r="G35" s="22"/>
      <c r="H35" s="23"/>
      <c r="I35" s="28"/>
      <c r="J35" s="122" t="s">
        <v>75</v>
      </c>
      <c r="L35" s="29" t="str" cm="1">
        <f t="array" ref="L35">IF(O35=0,"",(SUMPRODUCT(((1000*N35+10*U35+S35)&lt; (1000*(N$33:N$36)+10*(U$33:U$36)+(S$33:S$36)))+0)+1))</f>
        <v/>
      </c>
      <c r="M35" s="30" t="s">
        <v>44</v>
      </c>
      <c r="N35" s="31">
        <f>(P35*3+Q35*1)</f>
        <v>0</v>
      </c>
      <c r="O35" s="32">
        <f>SUM(P35:R35)</f>
        <v>0</v>
      </c>
      <c r="P35" s="32">
        <f t="array" ref="P35">SUM((E$32:E$37=M35)*(G$32:G$37&lt;&gt;"")*(H$32:H$37&lt;&gt;"")*(G$32:G$37&gt;H$32:H$37),(J$32:J$37=M35)*(G$32:G$37&lt;&gt;"")*(H$32:H$37&lt;&gt;"")*(G$32:G$37&lt;H$32:H$37))</f>
        <v>0</v>
      </c>
      <c r="Q35" s="32">
        <f t="array" ref="Q35">SUM((E$32:E$37=M35)*(G$32:G$37&lt;&gt;"")*(G$32:G$37=H$32:H$37),(J$32:J$37=M35)*(H$32:H$37&lt;&gt;"")*(G$32:G$37=H$32:H$37))</f>
        <v>0</v>
      </c>
      <c r="R35" s="32">
        <f t="array" ref="R35">SUM((E$32:E$37=M35)*(H$32:H$37&lt;&gt;"")*(G$32:G$37&lt;&gt;"")*(G$32:G$37&lt;H$32:H$37),(G$32:G$37&lt;&gt;"")*(J$32:J$37=M35)*(H$32:H$37&lt;&gt;"")*(G$32:G$37&gt;H$32:H$37))</f>
        <v>0</v>
      </c>
      <c r="S35" s="31">
        <f t="array" ref="S35">SUM((E$32:E$37=M35)*(G$32:G$37)*(H$32:H$37&lt;&gt;""),(J$32:J$37=M35)*(H$32:H$37)*(G$32:G$37&lt;&gt;""))</f>
        <v>0</v>
      </c>
      <c r="T35" s="31">
        <f t="array" ref="T35">SUM((E$32:E$37=M35)*(G$32:G$37&lt;&gt;"")*(H$32:H$37),(J$32:J$37=M35)*(H$32:H$37&lt;&gt;"")*(G$32:G$37))</f>
        <v>0</v>
      </c>
      <c r="U35" s="33">
        <f>S35-T35</f>
        <v>0</v>
      </c>
    </row>
    <row r="36" spans="2:21" ht="15" customHeight="1" thickBot="1" x14ac:dyDescent="0.3">
      <c r="B36" s="17">
        <v>44895</v>
      </c>
      <c r="C36" s="18">
        <v>0.375</v>
      </c>
      <c r="D36" s="19" t="s">
        <v>66</v>
      </c>
      <c r="E36" s="20" t="s">
        <v>46</v>
      </c>
      <c r="F36" s="28"/>
      <c r="G36" s="22"/>
      <c r="H36" s="23"/>
      <c r="I36" s="28"/>
      <c r="J36" s="24" t="s">
        <v>15</v>
      </c>
      <c r="L36" s="34" t="str" cm="1">
        <f t="array" ref="L36">IF(O36=0,"",(SUMPRODUCT(((1000*N36+10*U36+S36)&lt; (1000*(N$33:N$36)+10*(U$33:U$36)+(S$33:S$36)))+0)+1))</f>
        <v/>
      </c>
      <c r="M36" s="35" t="s">
        <v>46</v>
      </c>
      <c r="N36" s="36">
        <f>(P36*3+Q36*1)</f>
        <v>0</v>
      </c>
      <c r="O36" s="37">
        <f>SUM(P36:R36)</f>
        <v>0</v>
      </c>
      <c r="P36" s="37">
        <f t="array" ref="P36">SUM((E$32:E$37=M36)*(G$32:G$37&lt;&gt;"")*(H$32:H$37&lt;&gt;"")*(G$32:G$37&gt;H$32:H$37),(J$32:J$37=M36)*(G$32:G$37&lt;&gt;"")*(H$32:H$37&lt;&gt;"")*(G$32:G$37&lt;H$32:H$37))</f>
        <v>0</v>
      </c>
      <c r="Q36" s="37">
        <f t="array" ref="Q36">SUM((E$32:E$37=M36)*(G$32:G$37&lt;&gt;"")*(G$32:G$37=H$32:H$37),(J$32:J$37=M36)*(H$32:H$37&lt;&gt;"")*(G$32:G$37=H$32:H$37))</f>
        <v>0</v>
      </c>
      <c r="R36" s="37">
        <f t="array" ref="R36">SUM((E$32:E$37=M36)*(H$32:H$37&lt;&gt;"")*(G$32:G$37&lt;&gt;"")*(G$32:G$37&lt;H$32:H$37),(G$32:G$37&lt;&gt;"")*(J$32:J$37=M36)*(H$32:H$37&lt;&gt;"")*(G$32:G$37&gt;H$32:H$37))</f>
        <v>0</v>
      </c>
      <c r="S36" s="36">
        <f t="array" ref="S36">SUM((E$32:E$37=M36)*(G$32:G$37)*(H$32:H$37&lt;&gt;""),(J$32:J$37=M36)*(H$32:H$37)*(G$32:G$37&lt;&gt;""))</f>
        <v>0</v>
      </c>
      <c r="T36" s="36">
        <f t="array" ref="T36">SUM((E$32:E$37=M36)*(G$32:G$37&lt;&gt;"")*(H$32:H$37),(J$32:J$37=M36)*(H$32:H$37&lt;&gt;"")*(G$32:G$37))</f>
        <v>0</v>
      </c>
      <c r="U36" s="38">
        <f>S36-T36</f>
        <v>0</v>
      </c>
    </row>
    <row r="37" spans="2:21" ht="15" customHeight="1" thickBot="1" x14ac:dyDescent="0.3">
      <c r="B37" s="39">
        <v>44895</v>
      </c>
      <c r="C37" s="40">
        <v>0.375</v>
      </c>
      <c r="D37" s="41" t="s">
        <v>68</v>
      </c>
      <c r="E37" s="123" t="s">
        <v>75</v>
      </c>
      <c r="F37" s="43"/>
      <c r="G37" s="44"/>
      <c r="H37" s="45"/>
      <c r="I37" s="43"/>
      <c r="J37" s="46" t="s">
        <v>44</v>
      </c>
    </row>
    <row r="38" spans="2:21" ht="15" customHeight="1" thickBot="1" x14ac:dyDescent="0.3"/>
    <row r="39" spans="2:21" ht="15" customHeight="1" thickBot="1" x14ac:dyDescent="0.3">
      <c r="B39" s="14" t="s">
        <v>1</v>
      </c>
      <c r="C39" s="15" t="s">
        <v>2</v>
      </c>
      <c r="D39" s="16" t="s">
        <v>3</v>
      </c>
      <c r="E39" s="119" t="s">
        <v>23</v>
      </c>
      <c r="F39" s="120"/>
      <c r="G39" s="119"/>
      <c r="H39" s="119"/>
      <c r="I39" s="120"/>
      <c r="J39" s="121"/>
    </row>
    <row r="40" spans="2:21" ht="15" customHeight="1" x14ac:dyDescent="0.25">
      <c r="B40" s="17">
        <v>44888</v>
      </c>
      <c r="C40" s="18">
        <v>0.41666666666666669</v>
      </c>
      <c r="D40" s="19" t="s">
        <v>63</v>
      </c>
      <c r="E40" s="20" t="s">
        <v>29</v>
      </c>
      <c r="F40" s="21"/>
      <c r="G40" s="22"/>
      <c r="H40" s="23"/>
      <c r="I40" s="21"/>
      <c r="J40" s="122" t="s">
        <v>76</v>
      </c>
      <c r="L40" s="25" t="s">
        <v>41</v>
      </c>
      <c r="M40" s="26" t="s">
        <v>5</v>
      </c>
      <c r="N40" s="26" t="s">
        <v>6</v>
      </c>
      <c r="O40" s="26" t="s">
        <v>7</v>
      </c>
      <c r="P40" s="26" t="s">
        <v>8</v>
      </c>
      <c r="Q40" s="26" t="s">
        <v>9</v>
      </c>
      <c r="R40" s="26" t="s">
        <v>10</v>
      </c>
      <c r="S40" s="26" t="s">
        <v>11</v>
      </c>
      <c r="T40" s="26" t="s">
        <v>12</v>
      </c>
      <c r="U40" s="27" t="s">
        <v>13</v>
      </c>
    </row>
    <row r="41" spans="2:21" ht="15" customHeight="1" x14ac:dyDescent="0.25">
      <c r="B41" s="17">
        <v>44888</v>
      </c>
      <c r="C41" s="18">
        <v>0.29166666666666669</v>
      </c>
      <c r="D41" s="19" t="s">
        <v>69</v>
      </c>
      <c r="E41" s="20" t="s">
        <v>22</v>
      </c>
      <c r="F41" s="28"/>
      <c r="G41" s="22"/>
      <c r="H41" s="23"/>
      <c r="I41" s="28"/>
      <c r="J41" s="24" t="s">
        <v>51</v>
      </c>
      <c r="L41" s="29" t="str" cm="1">
        <f t="array" ref="L41">IF(O41=0,"",(SUMPRODUCT(((1000*N41+10*U41+S41)&lt; (1000*(N$41:N$44)+10*(U$41:U$44)+(S$41:S$44)))+0)+1))</f>
        <v/>
      </c>
      <c r="M41" s="30" t="s">
        <v>29</v>
      </c>
      <c r="N41" s="31">
        <f>(P41*3+Q41*1)</f>
        <v>0</v>
      </c>
      <c r="O41" s="32">
        <f>SUM(P41:R41)</f>
        <v>0</v>
      </c>
      <c r="P41" s="32">
        <f t="array" ref="P41">SUM((E$40:E$45=M41)*(G$40:G$45&lt;&gt;"")*(H$40:H$45&lt;&gt;"")*(G$40:G$45&gt;H$40:H$45),(J$40:J$45=M41)*(G$40:G$45&lt;&gt;"")*(H$40:H$45&lt;&gt;"")*(G$40:G$45&lt;H$40:H$45))</f>
        <v>0</v>
      </c>
      <c r="Q41" s="32">
        <f t="array" ref="Q41">SUM((E$40:E$45=M41)*(G$40:G$45&lt;&gt;"")*(G$40:G$45=H$40:H$45),(J$40:J$45=M41)*(H$40:H$45&lt;&gt;"")*(G$40:G$45=H$40:H$45))</f>
        <v>0</v>
      </c>
      <c r="R41" s="32">
        <f t="array" ref="R41">SUM((E$40:E$45=M41)*(H$40:H$45&lt;&gt;"")*(G$40:G$45&lt;&gt;"")*(G$40:G$45&lt;H$40:H$45),(G$40:G$45&lt;&gt;"")*(J$40:J$45=M41)*(H$40:H$45&lt;&gt;"")*(G$40:G$45&gt;H$40:H$45))</f>
        <v>0</v>
      </c>
      <c r="S41" s="31">
        <f t="array" ref="S41">SUM((E$40:E$45=M41)*(G$40:G$45)*(H$40:H$45&lt;&gt;""),(J$40:J$45=M41)*(H$40:H$45)*(G$40:G$45&lt;&gt;""))</f>
        <v>0</v>
      </c>
      <c r="T41" s="31">
        <f t="array" ref="T41">SUM((E$40:E$45=M41)*(G$40:G$45&lt;&gt;"")*(H$40:H$45),(J$40:J$45=M41)*(H$40:H$45&lt;&gt;"")*(G$40:G$45))</f>
        <v>0</v>
      </c>
      <c r="U41" s="33">
        <f>S41-T41</f>
        <v>0</v>
      </c>
    </row>
    <row r="42" spans="2:21" ht="15" customHeight="1" x14ac:dyDescent="0.25">
      <c r="B42" s="17">
        <v>44892</v>
      </c>
      <c r="C42" s="18">
        <v>0.54166666666666663</v>
      </c>
      <c r="D42" s="19" t="s">
        <v>64</v>
      </c>
      <c r="E42" s="20" t="s">
        <v>29</v>
      </c>
      <c r="F42" s="28"/>
      <c r="G42" s="22"/>
      <c r="H42" s="23"/>
      <c r="I42" s="28"/>
      <c r="J42" s="24" t="s">
        <v>22</v>
      </c>
      <c r="L42" s="29" t="str" cm="1">
        <f t="array" ref="L42">IF(O42=0,"",(SUMPRODUCT(((1000*N42+10*U42+S42)&lt; (1000*(N$41:N$44)+10*(U$41:U$44)+(S$41:S$44)))+0)+1))</f>
        <v/>
      </c>
      <c r="M42" s="109" t="s">
        <v>76</v>
      </c>
      <c r="N42" s="31">
        <f>(P42*3+Q42*1)</f>
        <v>0</v>
      </c>
      <c r="O42" s="32">
        <f>SUM(P42:R42)</f>
        <v>0</v>
      </c>
      <c r="P42" s="32">
        <f t="array" ref="P42">SUM((E$40:E$45=M42)*(G$40:G$45&lt;&gt;"")*(H$40:H$45&lt;&gt;"")*(G$40:G$45&gt;H$40:H$45),(J$40:J$45=M42)*(G$40:G$45&lt;&gt;"")*(H$40:H$45&lt;&gt;"")*(G$40:G$45&lt;H$40:H$45))</f>
        <v>0</v>
      </c>
      <c r="Q42" s="32">
        <f t="array" ref="Q42">SUM((E$40:E$45=M42)*(G$40:G$45&lt;&gt;"")*(G$40:G$45=H$40:H$45),(J$40:J$45=M42)*(H$40:H$45&lt;&gt;"")*(G$40:G$45=H$40:H$45))</f>
        <v>0</v>
      </c>
      <c r="R42" s="32">
        <f t="array" ref="R42">SUM((E$40:E$45=M42)*(H$40:H$45&lt;&gt;"")*(G$40:G$45&lt;&gt;"")*(G$40:G$45&lt;H$40:H$45),(G$40:G$45&lt;&gt;"")*(J$40:J$45=M42)*(H$40:H$45&lt;&gt;"")*(G$40:G$45&gt;H$40:H$45))</f>
        <v>0</v>
      </c>
      <c r="S42" s="31">
        <f t="array" ref="S42">SUM((E$40:E$45=M42)*(G$40:G$45)*(H$40:H$45&lt;&gt;""),(J$40:J$45=M42)*(H$40:H$45)*(G$40:G$45&lt;&gt;""))</f>
        <v>0</v>
      </c>
      <c r="T42" s="31">
        <f t="array" ref="T42">SUM((E$40:E$45=M42)*(G$40:G$45&lt;&gt;"")*(H$40:H$45),(J$40:J$45=M42)*(H$40:H$45&lt;&gt;"")*(G$40:G$45))</f>
        <v>0</v>
      </c>
      <c r="U42" s="33">
        <f>S42-T42</f>
        <v>0</v>
      </c>
    </row>
    <row r="43" spans="2:21" ht="15" customHeight="1" x14ac:dyDescent="0.25">
      <c r="B43" s="17">
        <v>44892</v>
      </c>
      <c r="C43" s="18">
        <v>0.16666666666666666</v>
      </c>
      <c r="D43" s="19" t="s">
        <v>65</v>
      </c>
      <c r="E43" s="20" t="s">
        <v>51</v>
      </c>
      <c r="F43" s="28"/>
      <c r="G43" s="22"/>
      <c r="H43" s="23"/>
      <c r="I43" s="28"/>
      <c r="J43" s="122" t="s">
        <v>76</v>
      </c>
      <c r="L43" s="29" t="str" cm="1">
        <f t="array" ref="L43">IF(O43=0,"",(SUMPRODUCT(((1000*N43+10*U43+S43)&lt; (1000*(N$41:N$44)+10*(U$41:U$44)+(S$41:S$44)))+0)+1))</f>
        <v/>
      </c>
      <c r="M43" s="30" t="s">
        <v>22</v>
      </c>
      <c r="N43" s="31">
        <f>(P43*3+Q43*1)</f>
        <v>0</v>
      </c>
      <c r="O43" s="32">
        <f>SUM(P43:R43)</f>
        <v>0</v>
      </c>
      <c r="P43" s="32">
        <f t="array" ref="P43">SUM((E$40:E$45=M43)*(G$40:G$45&lt;&gt;"")*(H$40:H$45&lt;&gt;"")*(G$40:G$45&gt;H$40:H$45),(J$40:J$45=M43)*(G$40:G$45&lt;&gt;"")*(H$40:H$45&lt;&gt;"")*(G$40:G$45&lt;H$40:H$45))</f>
        <v>0</v>
      </c>
      <c r="Q43" s="32">
        <f t="array" ref="Q43">SUM((E$40:E$45=M43)*(G$40:G$45&lt;&gt;"")*(G$40:G$45=H$40:H$45),(J$40:J$45=M43)*(H$40:H$45&lt;&gt;"")*(G$40:G$45=H$40:H$45))</f>
        <v>0</v>
      </c>
      <c r="R43" s="32">
        <f t="array" ref="R43">SUM((E$40:E$45=M43)*(H$40:H$45&lt;&gt;"")*(G$40:G$45&lt;&gt;"")*(G$40:G$45&lt;H$40:H$45),(G$40:G$45&lt;&gt;"")*(J$40:J$45=M43)*(H$40:H$45&lt;&gt;"")*(G$40:G$45&gt;H$40:H$45))</f>
        <v>0</v>
      </c>
      <c r="S43" s="31">
        <f t="array" ref="S43">SUM((E$40:E$45=M43)*(G$40:G$45)*(H$40:H$45&lt;&gt;""),(J$40:J$45=M43)*(H$40:H$45)*(G$40:G$45&lt;&gt;""))</f>
        <v>0</v>
      </c>
      <c r="T43" s="31">
        <f t="array" ref="T43">SUM((E$40:E$45=M43)*(G$40:G$45&lt;&gt;"")*(H$40:H$45),(J$40:J$45=M43)*(H$40:H$45&lt;&gt;"")*(G$40:G$45))</f>
        <v>0</v>
      </c>
      <c r="U43" s="33">
        <f>S43-T43</f>
        <v>0</v>
      </c>
    </row>
    <row r="44" spans="2:21" ht="15" customHeight="1" thickBot="1" x14ac:dyDescent="0.3">
      <c r="B44" s="17">
        <v>44896</v>
      </c>
      <c r="C44" s="18">
        <v>0.54166666666666663</v>
      </c>
      <c r="D44" s="19" t="s">
        <v>69</v>
      </c>
      <c r="E44" s="20" t="s">
        <v>51</v>
      </c>
      <c r="F44" s="28"/>
      <c r="G44" s="22"/>
      <c r="H44" s="23"/>
      <c r="I44" s="28"/>
      <c r="J44" s="24" t="s">
        <v>29</v>
      </c>
      <c r="L44" s="34" t="str" cm="1">
        <f t="array" ref="L44">IF(O44=0,"",(SUMPRODUCT(((1000*N44+10*U44+S44)&lt; (1000*(N$41:N$44)+10*(U$41:U$44)+(S$41:S$44)))+0)+1))</f>
        <v/>
      </c>
      <c r="M44" s="35" t="s">
        <v>51</v>
      </c>
      <c r="N44" s="36">
        <f>(P44*3+Q44*1)</f>
        <v>0</v>
      </c>
      <c r="O44" s="37">
        <f>SUM(P44:R44)</f>
        <v>0</v>
      </c>
      <c r="P44" s="37">
        <f t="array" ref="P44">SUM((E$40:E$45=M44)*(G$40:G$45&lt;&gt;"")*(H$40:H$45&lt;&gt;"")*(G$40:G$45&gt;H$40:H$45),(J$40:J$45=M44)*(G$40:G$45&lt;&gt;"")*(H$40:H$45&lt;&gt;"")*(G$40:G$45&lt;H$40:H$45))</f>
        <v>0</v>
      </c>
      <c r="Q44" s="37">
        <f t="array" ref="Q44">SUM((E$40:E$45=M44)*(G$40:G$45&lt;&gt;"")*(G$40:G$45=H$40:H$45),(J$40:J$45=M44)*(H$40:H$45&lt;&gt;"")*(G$40:G$45=H$40:H$45))</f>
        <v>0</v>
      </c>
      <c r="R44" s="37">
        <f t="array" ref="R44">SUM((E$40:E$45=M44)*(H$40:H$45&lt;&gt;"")*(G$40:G$45&lt;&gt;"")*(G$40:G$45&lt;H$40:H$45),(G$40:G$45&lt;&gt;"")*(J$40:J$45=M44)*(H$40:H$45&lt;&gt;"")*(G$40:G$45&gt;H$40:H$45))</f>
        <v>0</v>
      </c>
      <c r="S44" s="36">
        <f t="array" ref="S44">SUM((E$40:E$45=M44)*(G$40:G$45)*(H$40:H$45&lt;&gt;""),(J$40:J$45=M44)*(H$40:H$45)*(G$40:G$45&lt;&gt;""))</f>
        <v>0</v>
      </c>
      <c r="T44" s="36">
        <f t="array" ref="T44">SUM((E$40:E$45=M44)*(G$40:G$45&lt;&gt;"")*(H$40:H$45),(J$40:J$45=M44)*(H$40:H$45&lt;&gt;"")*(G$40:G$45))</f>
        <v>0</v>
      </c>
      <c r="U44" s="38">
        <f>S44-T44</f>
        <v>0</v>
      </c>
    </row>
    <row r="45" spans="2:21" ht="15" customHeight="1" thickBot="1" x14ac:dyDescent="0.3">
      <c r="B45" s="39">
        <v>44896</v>
      </c>
      <c r="C45" s="40">
        <v>0.54166666666666663</v>
      </c>
      <c r="D45" s="41" t="s">
        <v>64</v>
      </c>
      <c r="E45" s="123" t="s">
        <v>76</v>
      </c>
      <c r="F45" s="43"/>
      <c r="G45" s="44"/>
      <c r="H45" s="45"/>
      <c r="I45" s="43"/>
      <c r="J45" s="46" t="s">
        <v>22</v>
      </c>
    </row>
    <row r="46" spans="2:21" ht="15" customHeight="1" thickBot="1" x14ac:dyDescent="0.3"/>
    <row r="47" spans="2:21" ht="15" customHeight="1" thickBot="1" x14ac:dyDescent="0.3">
      <c r="B47" s="14" t="s">
        <v>1</v>
      </c>
      <c r="C47" s="15" t="s">
        <v>2</v>
      </c>
      <c r="D47" s="16" t="s">
        <v>3</v>
      </c>
      <c r="E47" s="119" t="s">
        <v>24</v>
      </c>
      <c r="F47" s="120"/>
      <c r="G47" s="119"/>
      <c r="H47" s="119"/>
      <c r="I47" s="120"/>
      <c r="J47" s="121"/>
    </row>
    <row r="48" spans="2:21" ht="15" customHeight="1" x14ac:dyDescent="0.25">
      <c r="B48" s="17">
        <v>44888</v>
      </c>
      <c r="C48" s="18">
        <v>0.54166666666666663</v>
      </c>
      <c r="D48" s="19" t="s">
        <v>65</v>
      </c>
      <c r="E48" s="20" t="s">
        <v>48</v>
      </c>
      <c r="F48" s="21"/>
      <c r="G48" s="22"/>
      <c r="H48" s="23"/>
      <c r="I48" s="21"/>
      <c r="J48" s="24" t="s">
        <v>59</v>
      </c>
      <c r="L48" s="25" t="s">
        <v>41</v>
      </c>
      <c r="M48" s="26" t="s">
        <v>5</v>
      </c>
      <c r="N48" s="26" t="s">
        <v>6</v>
      </c>
      <c r="O48" s="26" t="s">
        <v>7</v>
      </c>
      <c r="P48" s="26" t="s">
        <v>8</v>
      </c>
      <c r="Q48" s="26" t="s">
        <v>9</v>
      </c>
      <c r="R48" s="26" t="s">
        <v>10</v>
      </c>
      <c r="S48" s="26" t="s">
        <v>11</v>
      </c>
      <c r="T48" s="26" t="s">
        <v>12</v>
      </c>
      <c r="U48" s="27" t="s">
        <v>13</v>
      </c>
    </row>
    <row r="49" spans="2:21" ht="15" customHeight="1" x14ac:dyDescent="0.25">
      <c r="B49" s="17">
        <v>44888</v>
      </c>
      <c r="C49" s="18">
        <v>0.16666666666666666</v>
      </c>
      <c r="D49" s="19" t="s">
        <v>64</v>
      </c>
      <c r="E49" s="20" t="s">
        <v>43</v>
      </c>
      <c r="F49" s="28"/>
      <c r="G49" s="22"/>
      <c r="H49" s="23"/>
      <c r="I49" s="28"/>
      <c r="J49" s="24" t="s">
        <v>40</v>
      </c>
      <c r="L49" s="29" t="str" cm="1">
        <f t="array" ref="L49">IF(O49=0,"",(SUMPRODUCT(((1000*N49+10*U49+S49)&lt; (1000*(N$49:N$52)+10*(U$49:U$52)+(S$49:S$52)))+0)+1))</f>
        <v/>
      </c>
      <c r="M49" s="30" t="s">
        <v>48</v>
      </c>
      <c r="N49" s="31">
        <f>(P49*3+Q49*1)</f>
        <v>0</v>
      </c>
      <c r="O49" s="32">
        <f>SUM(P49:R49)</f>
        <v>0</v>
      </c>
      <c r="P49" s="32">
        <f t="array" ref="P49">SUM((E$48:E$53=M49)*(G$48:G$53&lt;&gt;"")*(H$48:H$53&lt;&gt;"")*(G$48:G$53&gt;H$48:H$53),(J$48:J$53=M49)*(G$48:G$53&lt;&gt;"")*(H$48:H$53&lt;&gt;"")*(G$48:G$53&lt;H$48:H$53))</f>
        <v>0</v>
      </c>
      <c r="Q49" s="32">
        <f t="array" ref="Q49">SUM((E$48:E$53=M49)*(G$48:G$53&lt;&gt;"")*(G$48:G$53=H$48:H$53),(J$48:J$53=M49)*(H$48:H$53&lt;&gt;"")*(G$48:G$53=H$48:H$53))</f>
        <v>0</v>
      </c>
      <c r="R49" s="32">
        <f t="array" ref="R49">SUM((E$48:E$53=M49)*(H$48:H$53&lt;&gt;"")*(G$48:G$53&lt;&gt;"")*(G$48:G$53&lt;H$48:H$53),(G$48:G$53&lt;&gt;"")*(J$48:J$53=M49)*(H$48:H$53&lt;&gt;"")*(G$48:G$53&gt;H$48:H$53))</f>
        <v>0</v>
      </c>
      <c r="S49" s="31">
        <f t="array" ref="S49">SUM((E$48:E$53=M49)*(G$48:G$53)*(H$48:H$53&lt;&gt;""),(J$48:J$53=M49)*(H$48:H$53)*(G$48:G$53&lt;&gt;""))</f>
        <v>0</v>
      </c>
      <c r="T49" s="31">
        <f t="array" ref="T49">SUM((E$48:E$53=M49)*(G$48:G$53&lt;&gt;"")*(H$48:H$53),(J$48:J$53=M49)*(H$48:H$53&lt;&gt;"")*(G$48:G$53))</f>
        <v>0</v>
      </c>
      <c r="U49" s="33">
        <f>S49-T49</f>
        <v>0</v>
      </c>
    </row>
    <row r="50" spans="2:21" ht="15" customHeight="1" x14ac:dyDescent="0.25">
      <c r="B50" s="17">
        <v>44892</v>
      </c>
      <c r="C50" s="18">
        <v>0.29166666666666669</v>
      </c>
      <c r="D50" s="19" t="s">
        <v>63</v>
      </c>
      <c r="E50" s="20" t="s">
        <v>48</v>
      </c>
      <c r="F50" s="28"/>
      <c r="G50" s="22"/>
      <c r="H50" s="23"/>
      <c r="I50" s="28"/>
      <c r="J50" s="24" t="s">
        <v>43</v>
      </c>
      <c r="L50" s="29" t="str" cm="1">
        <f t="array" ref="L50">IF(O50=0,"",(SUMPRODUCT(((1000*N50+10*U50+S50)&lt; (1000*(N$49:N$52)+10*(U$49:U$52)+(S$49:S$52)))+0)+1))</f>
        <v/>
      </c>
      <c r="M50" s="30" t="s">
        <v>59</v>
      </c>
      <c r="N50" s="31">
        <f>(P50*3+Q50*1)</f>
        <v>0</v>
      </c>
      <c r="O50" s="32">
        <f>SUM(P50:R50)</f>
        <v>0</v>
      </c>
      <c r="P50" s="32">
        <f t="array" ref="P50">SUM((E$48:E$53=M50)*(G$48:G$53&lt;&gt;"")*(H$48:H$53&lt;&gt;"")*(G$48:G$53&gt;H$48:H$53),(J$48:J$53=M50)*(G$48:G$53&lt;&gt;"")*(H$48:H$53&lt;&gt;"")*(G$48:G$53&lt;H$48:H$53))</f>
        <v>0</v>
      </c>
      <c r="Q50" s="32">
        <f t="array" ref="Q50">SUM((E$48:E$53=M50)*(G$48:G$53&lt;&gt;"")*(G$48:G$53=H$48:H$53),(J$48:J$53=M50)*(H$48:H$53&lt;&gt;"")*(G$48:G$53=H$48:H$53))</f>
        <v>0</v>
      </c>
      <c r="R50" s="32">
        <f t="array" ref="R50">SUM((E$48:E$53=M50)*(H$48:H$53&lt;&gt;"")*(G$48:G$53&lt;&gt;"")*(G$48:G$53&lt;H$48:H$53),(G$48:G$53&lt;&gt;"")*(J$48:J$53=M50)*(H$48:H$53&lt;&gt;"")*(G$48:G$53&gt;H$48:H$53))</f>
        <v>0</v>
      </c>
      <c r="S50" s="31">
        <f t="array" ref="S50">SUM((E$48:E$53=M50)*(G$48:G$53)*(H$48:H$53&lt;&gt;""),(J$48:J$53=M50)*(H$48:H$53)*(G$48:G$53&lt;&gt;""))</f>
        <v>0</v>
      </c>
      <c r="T50" s="31">
        <f t="array" ref="T50">SUM((E$48:E$53=M50)*(G$48:G$53&lt;&gt;"")*(H$48:H$53),(J$48:J$53=M50)*(H$48:H$53&lt;&gt;"")*(G$48:G$53))</f>
        <v>0</v>
      </c>
      <c r="U50" s="33">
        <f>S50-T50</f>
        <v>0</v>
      </c>
    </row>
    <row r="51" spans="2:21" ht="15" customHeight="1" x14ac:dyDescent="0.25">
      <c r="B51" s="17">
        <v>44892</v>
      </c>
      <c r="C51" s="18">
        <v>0.41666666666666669</v>
      </c>
      <c r="D51" s="19" t="s">
        <v>69</v>
      </c>
      <c r="E51" s="20" t="s">
        <v>40</v>
      </c>
      <c r="F51" s="28"/>
      <c r="G51" s="22"/>
      <c r="H51" s="23"/>
      <c r="I51" s="28"/>
      <c r="J51" s="24" t="s">
        <v>59</v>
      </c>
      <c r="L51" s="29" t="str" cm="1">
        <f t="array" ref="L51">IF(O51=0,"",(SUMPRODUCT(((1000*N51+10*U51+S51)&lt; (1000*(N$49:N$52)+10*(U$49:U$52)+(S$49:S$52)))+0)+1))</f>
        <v/>
      </c>
      <c r="M51" s="30" t="s">
        <v>43</v>
      </c>
      <c r="N51" s="31">
        <f>(P51*3+Q51*1)</f>
        <v>0</v>
      </c>
      <c r="O51" s="32">
        <f>SUM(P51:R51)</f>
        <v>0</v>
      </c>
      <c r="P51" s="32">
        <f t="array" ref="P51">SUM((E$48:E$53=M51)*(G$48:G$53&lt;&gt;"")*(H$48:H$53&lt;&gt;"")*(G$48:G$53&gt;H$48:H$53),(J$48:J$53=M51)*(G$48:G$53&lt;&gt;"")*(H$48:H$53&lt;&gt;"")*(G$48:G$53&lt;H$48:H$53))</f>
        <v>0</v>
      </c>
      <c r="Q51" s="32">
        <f t="array" ref="Q51">SUM((E$48:E$53=M51)*(G$48:G$53&lt;&gt;"")*(G$48:G$53=H$48:H$53),(J$48:J$53=M51)*(H$48:H$53&lt;&gt;"")*(G$48:G$53=H$48:H$53))</f>
        <v>0</v>
      </c>
      <c r="R51" s="32">
        <f t="array" ref="R51">SUM((E$48:E$53=M51)*(H$48:H$53&lt;&gt;"")*(G$48:G$53&lt;&gt;"")*(G$48:G$53&lt;H$48:H$53),(G$48:G$53&lt;&gt;"")*(J$48:J$53=M51)*(H$48:H$53&lt;&gt;"")*(G$48:G$53&gt;H$48:H$53))</f>
        <v>0</v>
      </c>
      <c r="S51" s="31">
        <f t="array" ref="S51">SUM((E$48:E$53=M51)*(G$48:G$53)*(H$48:H$53&lt;&gt;""),(J$48:J$53=M51)*(H$48:H$53)*(G$48:G$53&lt;&gt;""))</f>
        <v>0</v>
      </c>
      <c r="T51" s="31">
        <f t="array" ref="T51">SUM((E$48:E$53=M51)*(G$48:G$53&lt;&gt;"")*(H$48:H$53),(J$48:J$53=M51)*(H$48:H$53&lt;&gt;"")*(G$48:G$53))</f>
        <v>0</v>
      </c>
      <c r="U51" s="33">
        <f>S51-T51</f>
        <v>0</v>
      </c>
    </row>
    <row r="52" spans="2:21" ht="15" customHeight="1" thickBot="1" x14ac:dyDescent="0.3">
      <c r="B52" s="17">
        <v>44896</v>
      </c>
      <c r="C52" s="18">
        <v>0.375</v>
      </c>
      <c r="D52" s="19" t="s">
        <v>65</v>
      </c>
      <c r="E52" s="20" t="s">
        <v>40</v>
      </c>
      <c r="F52" s="28"/>
      <c r="G52" s="22"/>
      <c r="H52" s="23"/>
      <c r="I52" s="28"/>
      <c r="J52" s="24" t="s">
        <v>48</v>
      </c>
      <c r="L52" s="29" t="str" cm="1">
        <f t="array" ref="L52">IF(O52=0,"",(SUMPRODUCT(((1000*N52+10*U52+S52)&lt; (1000*(N$49:N$52)+10*(U$49:U$52)+(S$49:S$52)))+0)+1))</f>
        <v/>
      </c>
      <c r="M52" s="30" t="s">
        <v>40</v>
      </c>
      <c r="N52" s="36">
        <f>(P52*3+Q52*1)</f>
        <v>0</v>
      </c>
      <c r="O52" s="37">
        <f>SUM(P52:R52)</f>
        <v>0</v>
      </c>
      <c r="P52" s="37">
        <f t="array" ref="P52">SUM((E$48:E$53=M52)*(G$48:G$53&lt;&gt;"")*(H$48:H$53&lt;&gt;"")*(G$48:G$53&gt;H$48:H$53),(J$48:J$53=M52)*(G$48:G$53&lt;&gt;"")*(H$48:H$53&lt;&gt;"")*(G$48:G$53&lt;H$48:H$53))</f>
        <v>0</v>
      </c>
      <c r="Q52" s="37">
        <f t="array" ref="Q52">SUM((E$48:E$53=M52)*(G$48:G$53&lt;&gt;"")*(G$48:G$53=H$48:H$53),(J$48:J$53=M52)*(H$48:H$53&lt;&gt;"")*(G$48:G$53=H$48:H$53))</f>
        <v>0</v>
      </c>
      <c r="R52" s="37">
        <f t="array" ref="R52">SUM((E$48:E$53=M52)*(H$48:H$53&lt;&gt;"")*(G$48:G$53&lt;&gt;"")*(G$48:G$53&lt;H$48:H$53),(G$48:G$53&lt;&gt;"")*(J$48:J$53=M52)*(H$48:H$53&lt;&gt;"")*(G$48:G$53&gt;H$48:H$53))</f>
        <v>0</v>
      </c>
      <c r="S52" s="36">
        <f t="array" ref="S52">SUM((E$48:E$53=M52)*(G$48:G$53)*(H$48:H$53&lt;&gt;""),(J$48:J$53=M52)*(H$48:H$53)*(G$48:G$53&lt;&gt;""))</f>
        <v>0</v>
      </c>
      <c r="T52" s="36">
        <f t="array" ref="T52">SUM((E$48:E$53=M52)*(G$48:G$53&lt;&gt;"")*(H$48:H$53),(J$48:J$53=M52)*(H$48:H$53&lt;&gt;"")*(G$48:G$53))</f>
        <v>0</v>
      </c>
      <c r="U52" s="38">
        <f>S52-T52</f>
        <v>0</v>
      </c>
    </row>
    <row r="53" spans="2:21" ht="15" customHeight="1" thickBot="1" x14ac:dyDescent="0.3">
      <c r="B53" s="39">
        <v>44896</v>
      </c>
      <c r="C53" s="40">
        <v>0.375</v>
      </c>
      <c r="D53" s="41" t="s">
        <v>63</v>
      </c>
      <c r="E53" s="42" t="s">
        <v>59</v>
      </c>
      <c r="F53" s="43"/>
      <c r="G53" s="44"/>
      <c r="H53" s="45"/>
      <c r="I53" s="43"/>
      <c r="J53" s="46" t="s">
        <v>43</v>
      </c>
    </row>
    <row r="54" spans="2:21" ht="15" customHeight="1" thickBot="1" x14ac:dyDescent="0.3"/>
    <row r="55" spans="2:21" ht="15" customHeight="1" thickBot="1" x14ac:dyDescent="0.3">
      <c r="B55" s="14" t="s">
        <v>1</v>
      </c>
      <c r="C55" s="15" t="s">
        <v>2</v>
      </c>
      <c r="D55" s="16" t="s">
        <v>3</v>
      </c>
      <c r="E55" s="119" t="s">
        <v>25</v>
      </c>
      <c r="F55" s="120"/>
      <c r="G55" s="119"/>
      <c r="H55" s="119"/>
      <c r="I55" s="120"/>
      <c r="J55" s="121"/>
    </row>
    <row r="56" spans="2:21" ht="15" customHeight="1" x14ac:dyDescent="0.25">
      <c r="B56" s="17">
        <v>44889</v>
      </c>
      <c r="C56" s="18">
        <v>0.54166666666666663</v>
      </c>
      <c r="D56" s="19" t="s">
        <v>72</v>
      </c>
      <c r="E56" s="20" t="s">
        <v>27</v>
      </c>
      <c r="F56" s="21"/>
      <c r="G56" s="22"/>
      <c r="H56" s="23"/>
      <c r="I56" s="21"/>
      <c r="J56" s="24" t="s">
        <v>45</v>
      </c>
      <c r="L56" s="25" t="s">
        <v>41</v>
      </c>
      <c r="M56" s="26" t="s">
        <v>5</v>
      </c>
      <c r="N56" s="26" t="s">
        <v>6</v>
      </c>
      <c r="O56" s="26" t="s">
        <v>7</v>
      </c>
      <c r="P56" s="26" t="s">
        <v>8</v>
      </c>
      <c r="Q56" s="26" t="s">
        <v>9</v>
      </c>
      <c r="R56" s="26" t="s">
        <v>10</v>
      </c>
      <c r="S56" s="26" t="s">
        <v>11</v>
      </c>
      <c r="T56" s="26" t="s">
        <v>12</v>
      </c>
      <c r="U56" s="27" t="s">
        <v>13</v>
      </c>
    </row>
    <row r="57" spans="2:21" ht="15" customHeight="1" x14ac:dyDescent="0.25">
      <c r="B57" s="17">
        <v>44889</v>
      </c>
      <c r="C57" s="18">
        <v>0.16666666666666666</v>
      </c>
      <c r="D57" s="19" t="s">
        <v>68</v>
      </c>
      <c r="E57" s="20" t="s">
        <v>30</v>
      </c>
      <c r="F57" s="28"/>
      <c r="G57" s="22"/>
      <c r="H57" s="23"/>
      <c r="I57" s="28"/>
      <c r="J57" s="24" t="s">
        <v>60</v>
      </c>
      <c r="L57" s="29" t="str" cm="1">
        <f t="array" ref="L57">IF(O57=0,"",(SUMPRODUCT(((1000*N57+10*U57+S57)&lt; (1000*(N$57:N$60)+10*(U$57:U$60)+(S$57:S$60)))+0)+1))</f>
        <v/>
      </c>
      <c r="M57" s="30" t="s">
        <v>27</v>
      </c>
      <c r="N57" s="31">
        <f>(P57*3+Q57*1)</f>
        <v>0</v>
      </c>
      <c r="O57" s="32">
        <f>SUM(P57:R57)</f>
        <v>0</v>
      </c>
      <c r="P57" s="32">
        <f t="array" ref="P57">SUM((E$56:E$61=M57)*(G$56:G$61&lt;&gt;"")*(H$56:H$61&lt;&gt;"")*(G$56:G$61&gt;H$56:H$61),(J$56:J$61=M57)*(G$56:G$61&lt;&gt;"")*(H$56:H$61&lt;&gt;"")*(G$56:G$61&lt;H$56:H$61))</f>
        <v>0</v>
      </c>
      <c r="Q57" s="32">
        <f t="array" ref="Q57">SUM((E$56:E$61=M57)*(G$56:G$61&lt;&gt;"")*(G$56:G$61=H$56:H$61),(J$56:J$61=M57)*(H$56:H$61&lt;&gt;"")*(G$56:G$61=H$56:H$61))</f>
        <v>0</v>
      </c>
      <c r="R57" s="32">
        <f t="array" ref="R57">SUM((E$56:E$61=M57)*(H$56:H$61&lt;&gt;"")*(G$56:G$61&lt;&gt;"")*(G$56:G$61&lt;H$56:H$61),(G$56:G$61&lt;&gt;"")*(J$56:J$61=M57)*(H$56:H$61&lt;&gt;"")*(G$56:G$61&gt;H$56:H$61))</f>
        <v>0</v>
      </c>
      <c r="S57" s="31">
        <f t="array" ref="S57">SUM((E$56:E$61=M57)*(G$56:G$61)*(H$56:H$61&lt;&gt;""),(J$56:J$61=M57)*(H$56:H$61)*(G$56:G$61&lt;&gt;""))</f>
        <v>0</v>
      </c>
      <c r="T57" s="31">
        <f t="array" ref="T57">SUM((E$56:E$61=M57)*(G$56:G$61&lt;&gt;"")*(H$56:H$61),(J$56:J$61=M57)*(H$56:H$61&lt;&gt;"")*(G$56:G$61))</f>
        <v>0</v>
      </c>
      <c r="U57" s="33">
        <f>S57-T57</f>
        <v>0</v>
      </c>
    </row>
    <row r="58" spans="2:21" ht="15" customHeight="1" x14ac:dyDescent="0.25">
      <c r="B58" s="17">
        <v>44893</v>
      </c>
      <c r="C58" s="18">
        <v>0.41666666666666669</v>
      </c>
      <c r="D58" s="19" t="s">
        <v>67</v>
      </c>
      <c r="E58" s="20" t="s">
        <v>27</v>
      </c>
      <c r="F58" s="28"/>
      <c r="G58" s="22"/>
      <c r="H58" s="23"/>
      <c r="I58" s="28"/>
      <c r="J58" s="24" t="s">
        <v>30</v>
      </c>
      <c r="L58" s="29" t="str" cm="1">
        <f t="array" ref="L58">IF(O58=0,"",(SUMPRODUCT(((1000*N58+10*U58+S58)&lt; (1000*(N$57:N$60)+10*(U$57:U$60)+(S$57:S$60)))+0)+1))</f>
        <v/>
      </c>
      <c r="M58" s="30" t="s">
        <v>45</v>
      </c>
      <c r="N58" s="31">
        <f>(P58*3+Q58*1)</f>
        <v>0</v>
      </c>
      <c r="O58" s="32">
        <f>SUM(P58:R58)</f>
        <v>0</v>
      </c>
      <c r="P58" s="32">
        <f t="array" ref="P58">SUM((E$56:E$61=M58)*(G$56:G$61&lt;&gt;"")*(H$56:H$61&lt;&gt;"")*(G$56:G$61&gt;H$56:H$61),(J$56:J$61=M58)*(G$56:G$61&lt;&gt;"")*(H$56:H$61&lt;&gt;"")*(G$56:G$61&lt;H$56:H$61))</f>
        <v>0</v>
      </c>
      <c r="Q58" s="32">
        <f t="array" ref="Q58">SUM((E$56:E$61=M58)*(G$56:G$61&lt;&gt;"")*(G$56:G$61=H$56:H$61),(J$56:J$61=M58)*(H$56:H$61&lt;&gt;"")*(G$56:G$61=H$56:H$61))</f>
        <v>0</v>
      </c>
      <c r="R58" s="32">
        <f t="array" ref="R58">SUM((E$56:E$61=M58)*(H$56:H$61&lt;&gt;"")*(G$56:G$61&lt;&gt;"")*(G$56:G$61&lt;H$56:H$61),(G$56:G$61&lt;&gt;"")*(J$56:J$61=M58)*(H$56:H$61&lt;&gt;"")*(G$56:G$61&gt;H$56:H$61))</f>
        <v>0</v>
      </c>
      <c r="S58" s="31">
        <f t="array" ref="S58">SUM((E$56:E$61=M58)*(G$56:G$61)*(H$56:H$61&lt;&gt;""),(J$56:J$61=M58)*(H$56:H$61)*(G$56:G$61&lt;&gt;""))</f>
        <v>0</v>
      </c>
      <c r="T58" s="31">
        <f t="array" ref="T58">SUM((E$56:E$61=M58)*(G$56:G$61&lt;&gt;"")*(H$56:H$61),(J$56:J$61=M58)*(H$56:H$61&lt;&gt;"")*(G$56:G$61))</f>
        <v>0</v>
      </c>
      <c r="U58" s="33">
        <f>S58-T58</f>
        <v>0</v>
      </c>
    </row>
    <row r="59" spans="2:21" ht="15" customHeight="1" x14ac:dyDescent="0.25">
      <c r="B59" s="17">
        <v>44893</v>
      </c>
      <c r="C59" s="18">
        <v>0.16666666666666666</v>
      </c>
      <c r="D59" s="19" t="s">
        <v>68</v>
      </c>
      <c r="E59" s="20" t="s">
        <v>60</v>
      </c>
      <c r="F59" s="28"/>
      <c r="G59" s="22"/>
      <c r="H59" s="23"/>
      <c r="I59" s="28"/>
      <c r="J59" s="24" t="s">
        <v>45</v>
      </c>
      <c r="L59" s="29" t="str" cm="1">
        <f t="array" ref="L59">IF(O59=0,"",(SUMPRODUCT(((1000*N59+10*U59+S59)&lt; (1000*(N$57:N$60)+10*(U$57:U$60)+(S$57:S$60)))+0)+1))</f>
        <v/>
      </c>
      <c r="M59" s="30" t="s">
        <v>30</v>
      </c>
      <c r="N59" s="31">
        <f>(P59*3+Q59*1)</f>
        <v>0</v>
      </c>
      <c r="O59" s="32">
        <f>SUM(P59:R59)</f>
        <v>0</v>
      </c>
      <c r="P59" s="32">
        <f t="array" ref="P59">SUM((E$56:E$61=M59)*(G$56:G$61&lt;&gt;"")*(H$56:H$61&lt;&gt;"")*(G$56:G$61&gt;H$56:H$61),(J$56:J$61=M59)*(G$56:G$61&lt;&gt;"")*(H$56:H$61&lt;&gt;"")*(G$56:G$61&lt;H$56:H$61))</f>
        <v>0</v>
      </c>
      <c r="Q59" s="32">
        <f t="array" ref="Q59">SUM((E$56:E$61=M59)*(G$56:G$61&lt;&gt;"")*(G$56:G$61=H$56:H$61),(J$56:J$61=M59)*(H$56:H$61&lt;&gt;"")*(G$56:G$61=H$56:H$61))</f>
        <v>0</v>
      </c>
      <c r="R59" s="32">
        <f t="array" ref="R59">SUM((E$56:E$61=M59)*(H$56:H$61&lt;&gt;"")*(G$56:G$61&lt;&gt;"")*(G$56:G$61&lt;H$56:H$61),(G$56:G$61&lt;&gt;"")*(J$56:J$61=M59)*(H$56:H$61&lt;&gt;"")*(G$56:G$61&gt;H$56:H$61))</f>
        <v>0</v>
      </c>
      <c r="S59" s="31">
        <f t="array" ref="S59">SUM((E$56:E$61=M59)*(G$56:G$61)*(H$56:H$61&lt;&gt;""),(J$56:J$61=M59)*(H$56:H$61)*(G$56:G$61&lt;&gt;""))</f>
        <v>0</v>
      </c>
      <c r="T59" s="31">
        <f t="array" ref="T59">SUM((E$56:E$61=M59)*(G$56:G$61&lt;&gt;"")*(H$56:H$61),(J$56:J$61=M59)*(H$56:H$61&lt;&gt;"")*(G$56:G$61))</f>
        <v>0</v>
      </c>
      <c r="U59" s="33">
        <f>S59-T59</f>
        <v>0</v>
      </c>
    </row>
    <row r="60" spans="2:21" ht="15" customHeight="1" thickBot="1" x14ac:dyDescent="0.3">
      <c r="B60" s="17">
        <v>44897</v>
      </c>
      <c r="C60" s="18">
        <v>0.54166666666666663</v>
      </c>
      <c r="D60" s="19" t="s">
        <v>71</v>
      </c>
      <c r="E60" s="20" t="s">
        <v>60</v>
      </c>
      <c r="F60" s="28"/>
      <c r="G60" s="22"/>
      <c r="H60" s="23"/>
      <c r="I60" s="28"/>
      <c r="J60" s="24" t="s">
        <v>27</v>
      </c>
      <c r="L60" s="34" t="str" cm="1">
        <f t="array" ref="L60">IF(O60=0,"",(SUMPRODUCT(((1000*N60+10*U60+S60)&lt; (1000*(N$57:N$60)+10*(U$57:U$60)+(S$57:S$60)))+0)+1))</f>
        <v/>
      </c>
      <c r="M60" s="35" t="s">
        <v>60</v>
      </c>
      <c r="N60" s="36">
        <f>(P60*3+Q60*1)</f>
        <v>0</v>
      </c>
      <c r="O60" s="37">
        <f>SUM(P60:R60)</f>
        <v>0</v>
      </c>
      <c r="P60" s="37">
        <f t="array" ref="P60">SUM((E$56:E$61=M60)*(G$56:G$61&lt;&gt;"")*(H$56:H$61&lt;&gt;"")*(G$56:G$61&gt;H$56:H$61),(J$56:J$61=M60)*(G$56:G$61&lt;&gt;"")*(H$56:H$61&lt;&gt;"")*(G$56:G$61&lt;H$56:H$61))</f>
        <v>0</v>
      </c>
      <c r="Q60" s="37">
        <f t="array" ref="Q60">SUM((E$56:E$61=M60)*(G$56:G$61&lt;&gt;"")*(G$56:G$61=H$56:H$61),(J$56:J$61=M60)*(H$56:H$61&lt;&gt;"")*(G$56:G$61=H$56:H$61))</f>
        <v>0</v>
      </c>
      <c r="R60" s="37">
        <f t="array" ref="R60">SUM((E$56:E$61=M60)*(H$56:H$61&lt;&gt;"")*(G$56:G$61&lt;&gt;"")*(G$56:G$61&lt;H$56:H$61),(G$56:G$61&lt;&gt;"")*(J$56:J$61=M60)*(H$56:H$61&lt;&gt;"")*(G$56:G$61&gt;H$56:H$61))</f>
        <v>0</v>
      </c>
      <c r="S60" s="36">
        <f t="array" ref="S60">SUM((E$56:E$61=M60)*(G$56:G$61)*(H$56:H$61&lt;&gt;""),(J$56:J$61=M60)*(H$56:H$61)*(G$56:G$61&lt;&gt;""))</f>
        <v>0</v>
      </c>
      <c r="T60" s="36">
        <f t="array" ref="T60">SUM((E$56:E$61=M60)*(G$56:G$61&lt;&gt;"")*(H$56:H$61),(J$56:J$61=M60)*(H$56:H$61&lt;&gt;"")*(G$56:G$61))</f>
        <v>0</v>
      </c>
      <c r="U60" s="38">
        <f>S60-T60</f>
        <v>0</v>
      </c>
    </row>
    <row r="61" spans="2:21" ht="15" customHeight="1" thickBot="1" x14ac:dyDescent="0.3">
      <c r="B61" s="39">
        <v>44897</v>
      </c>
      <c r="C61" s="40">
        <v>0.54166666666666663</v>
      </c>
      <c r="D61" s="41" t="s">
        <v>67</v>
      </c>
      <c r="E61" s="42" t="s">
        <v>45</v>
      </c>
      <c r="F61" s="43"/>
      <c r="G61" s="44"/>
      <c r="H61" s="45"/>
      <c r="I61" s="43"/>
      <c r="J61" s="46" t="s">
        <v>30</v>
      </c>
    </row>
    <row r="62" spans="2:21" ht="15" customHeight="1" thickBot="1" x14ac:dyDescent="0.3"/>
    <row r="63" spans="2:21" ht="15" customHeight="1" thickBot="1" x14ac:dyDescent="0.3">
      <c r="B63" s="14" t="s">
        <v>1</v>
      </c>
      <c r="C63" s="15" t="s">
        <v>2</v>
      </c>
      <c r="D63" s="16" t="s">
        <v>3</v>
      </c>
      <c r="E63" s="119" t="s">
        <v>28</v>
      </c>
      <c r="F63" s="120"/>
      <c r="G63" s="119"/>
      <c r="H63" s="119"/>
      <c r="I63" s="120"/>
      <c r="J63" s="121"/>
    </row>
    <row r="64" spans="2:21" ht="15" customHeight="1" x14ac:dyDescent="0.25">
      <c r="B64" s="17">
        <v>44889</v>
      </c>
      <c r="C64" s="18">
        <v>0.41666666666666669</v>
      </c>
      <c r="D64" s="19" t="s">
        <v>67</v>
      </c>
      <c r="E64" s="20" t="s">
        <v>26</v>
      </c>
      <c r="F64" s="21"/>
      <c r="G64" s="22"/>
      <c r="H64" s="23"/>
      <c r="I64" s="21"/>
      <c r="J64" s="24" t="s">
        <v>61</v>
      </c>
      <c r="L64" s="25" t="s">
        <v>41</v>
      </c>
      <c r="M64" s="47" t="s">
        <v>5</v>
      </c>
      <c r="N64" s="26" t="s">
        <v>6</v>
      </c>
      <c r="O64" s="26" t="s">
        <v>7</v>
      </c>
      <c r="P64" s="26" t="s">
        <v>8</v>
      </c>
      <c r="Q64" s="26" t="s">
        <v>9</v>
      </c>
      <c r="R64" s="26" t="s">
        <v>10</v>
      </c>
      <c r="S64" s="26" t="s">
        <v>11</v>
      </c>
      <c r="T64" s="26" t="s">
        <v>12</v>
      </c>
      <c r="U64" s="27" t="s">
        <v>13</v>
      </c>
    </row>
    <row r="65" spans="2:21" ht="15" customHeight="1" x14ac:dyDescent="0.25">
      <c r="B65" s="17">
        <v>44889</v>
      </c>
      <c r="C65" s="18">
        <v>0.29166666666666669</v>
      </c>
      <c r="D65" s="19" t="s">
        <v>66</v>
      </c>
      <c r="E65" s="20" t="s">
        <v>14</v>
      </c>
      <c r="F65" s="28"/>
      <c r="G65" s="22"/>
      <c r="H65" s="23"/>
      <c r="I65" s="28"/>
      <c r="J65" s="24" t="s">
        <v>18</v>
      </c>
      <c r="L65" s="29" t="str" cm="1">
        <f t="array" ref="L65">IF(O65=0,"",(SUMPRODUCT(((1000*N65+10*U65+S65)&lt; (1000*(N$65:N$68)+10*(U$65:U$68)+(S$65:S$68)))+0)+1))</f>
        <v/>
      </c>
      <c r="M65" s="30" t="s">
        <v>26</v>
      </c>
      <c r="N65" s="31">
        <f>(P65*3+Q65*1)</f>
        <v>0</v>
      </c>
      <c r="O65" s="32">
        <f>SUM(P65:R65)</f>
        <v>0</v>
      </c>
      <c r="P65" s="32">
        <f t="array" ref="P65">SUM((E$64:E$69=M65)*(G$64:G$69&lt;&gt;"")*(H$64:H$69&lt;&gt;"")*(G$64:G$69&gt;H$64:H$69),(J$64:J$69=M65)*(G$64:G$69&lt;&gt;"")*(H$64:H$69&lt;&gt;"")*(G$64:G$69&lt;H$64:H$69))</f>
        <v>0</v>
      </c>
      <c r="Q65" s="32">
        <f t="array" ref="Q65">SUM((E$64:E$69=M65)*(G$64:G$69&lt;&gt;"")*(G$64:G$69=H$64:H$69),(J$64:J$69=M65)*(H$64:H$69&lt;&gt;"")*(G$64:G$69=H$64:H$69))</f>
        <v>0</v>
      </c>
      <c r="R65" s="32">
        <f t="array" ref="R65">SUM((E$64:E$69=M65)*(H$64:H$69&lt;&gt;"")*(G$64:G$69&lt;&gt;"")*(G$64:G$69&lt;H$64:H$69),(G$64:G$69&lt;&gt;"")*(J$64:J$69=M65)*(H$64:H$69&lt;&gt;"")*(G$64:G$69&gt;H$64:H$69))</f>
        <v>0</v>
      </c>
      <c r="S65" s="31">
        <f t="array" ref="S65">SUM((E$64:E$69=M65)*(G$64:G$69)*(H$64:H$69&lt;&gt;""),(J$64:J$69=M65)*(H$64:H$69)*(G$64:G$69&lt;&gt;""))</f>
        <v>0</v>
      </c>
      <c r="T65" s="31">
        <f t="array" ref="T65">SUM((E$64:E$69=M65)*(G$64:G$69&lt;&gt;"")*(H$64:H$69),(J$64:J$69=M65)*(H$64:H$69&lt;&gt;"")*(G$64:G$69))</f>
        <v>0</v>
      </c>
      <c r="U65" s="33">
        <f>S65-T65</f>
        <v>0</v>
      </c>
    </row>
    <row r="66" spans="2:21" ht="15" customHeight="1" x14ac:dyDescent="0.25">
      <c r="B66" s="17">
        <v>44893</v>
      </c>
      <c r="C66" s="18">
        <v>0.54166666666666663</v>
      </c>
      <c r="D66" s="19" t="s">
        <v>71</v>
      </c>
      <c r="E66" s="20" t="s">
        <v>26</v>
      </c>
      <c r="F66" s="28"/>
      <c r="G66" s="22"/>
      <c r="H66" s="23"/>
      <c r="I66" s="28"/>
      <c r="J66" s="24" t="s">
        <v>14</v>
      </c>
      <c r="L66" s="29" t="str" cm="1">
        <f t="array" ref="L66">IF(O66=0,"",(SUMPRODUCT(((1000*N66+10*U66+S66)&lt; (1000*(N$65:N$68)+10*(U$65:U$68)+(S$65:S$68)))+0)+1))</f>
        <v/>
      </c>
      <c r="M66" s="30" t="s">
        <v>61</v>
      </c>
      <c r="N66" s="31">
        <f>(P66*3+Q66*1)</f>
        <v>0</v>
      </c>
      <c r="O66" s="32">
        <f>SUM(P66:R66)</f>
        <v>0</v>
      </c>
      <c r="P66" s="32">
        <f t="array" ref="P66">SUM((E$64:E$69=M66)*(G$64:G$69&lt;&gt;"")*(H$64:H$69&lt;&gt;"")*(G$64:G$69&gt;H$64:H$69),(J$64:J$69=M66)*(G$64:G$69&lt;&gt;"")*(H$64:H$69&lt;&gt;"")*(G$64:G$69&lt;H$64:H$69))</f>
        <v>0</v>
      </c>
      <c r="Q66" s="32">
        <f t="array" ref="Q66">SUM((E$64:E$69=M66)*(G$64:G$69&lt;&gt;"")*(G$64:G$69=H$64:H$69),(J$64:J$69=M66)*(H$64:H$69&lt;&gt;"")*(G$64:G$69=H$64:H$69))</f>
        <v>0</v>
      </c>
      <c r="R66" s="32">
        <f t="array" ref="R66">SUM((E$64:E$69=M66)*(H$64:H$69&lt;&gt;"")*(G$64:G$69&lt;&gt;"")*(G$64:G$69&lt;H$64:H$69),(G$64:G$69&lt;&gt;"")*(J$64:J$69=M66)*(H$64:H$69&lt;&gt;"")*(G$64:G$69&gt;H$64:H$69))</f>
        <v>0</v>
      </c>
      <c r="S66" s="31">
        <f t="array" ref="S66">SUM((E$64:E$69=M66)*(G$64:G$69)*(H$64:H$69&lt;&gt;""),(J$64:J$69=M66)*(H$64:H$69)*(G$64:G$69&lt;&gt;""))</f>
        <v>0</v>
      </c>
      <c r="T66" s="31">
        <f t="array" ref="T66">SUM((E$64:E$69=M66)*(G$64:G$69&lt;&gt;"")*(H$64:H$69),(J$64:J$69=M66)*(H$64:H$69&lt;&gt;"")*(G$64:G$69))</f>
        <v>0</v>
      </c>
      <c r="U66" s="33">
        <f>S66-T66</f>
        <v>0</v>
      </c>
    </row>
    <row r="67" spans="2:21" ht="15" customHeight="1" x14ac:dyDescent="0.25">
      <c r="B67" s="17">
        <v>44893</v>
      </c>
      <c r="C67" s="18">
        <v>0.29166666666666669</v>
      </c>
      <c r="D67" s="19" t="s">
        <v>66</v>
      </c>
      <c r="E67" s="20" t="s">
        <v>18</v>
      </c>
      <c r="F67" s="28"/>
      <c r="G67" s="22"/>
      <c r="H67" s="23"/>
      <c r="I67" s="28"/>
      <c r="J67" s="24" t="s">
        <v>61</v>
      </c>
      <c r="L67" s="29" t="str" cm="1">
        <f t="array" ref="L67">IF(O67=0,"",(SUMPRODUCT(((1000*N67+10*U67+S67)&lt; (1000*(N$65:N$68)+10*(U$65:U$68)+(S$65:S$68)))+0)+1))</f>
        <v/>
      </c>
      <c r="M67" s="30" t="s">
        <v>14</v>
      </c>
      <c r="N67" s="31">
        <f>(P67*3+Q67*1)</f>
        <v>0</v>
      </c>
      <c r="O67" s="32">
        <f>SUM(P67:R67)</f>
        <v>0</v>
      </c>
      <c r="P67" s="32">
        <f t="array" ref="P67">SUM((E$64:E$69=M67)*(G$64:G$69&lt;&gt;"")*(H$64:H$69&lt;&gt;"")*(G$64:G$69&gt;H$64:H$69),(J$64:J$69=M67)*(G$64:G$69&lt;&gt;"")*(H$64:H$69&lt;&gt;"")*(G$64:G$69&lt;H$64:H$69))</f>
        <v>0</v>
      </c>
      <c r="Q67" s="32">
        <f t="array" ref="Q67">SUM((E$64:E$69=M67)*(G$64:G$69&lt;&gt;"")*(G$64:G$69=H$64:H$69),(J$64:J$69=M67)*(H$64:H$69&lt;&gt;"")*(G$64:G$69=H$64:H$69))</f>
        <v>0</v>
      </c>
      <c r="R67" s="32">
        <f t="array" ref="R67">SUM((E$64:E$69=M67)*(H$64:H$69&lt;&gt;"")*(G$64:G$69&lt;&gt;"")*(G$64:G$69&lt;H$64:H$69),(G$64:G$69&lt;&gt;"")*(J$64:J$69=M67)*(H$64:H$69&lt;&gt;"")*(G$64:G$69&gt;H$64:H$69))</f>
        <v>0</v>
      </c>
      <c r="S67" s="31">
        <f t="array" ref="S67">SUM((E$64:E$69=M67)*(G$64:G$69)*(H$64:H$69&lt;&gt;""),(J$64:J$69=M67)*(H$64:H$69)*(G$64:G$69&lt;&gt;""))</f>
        <v>0</v>
      </c>
      <c r="T67" s="31">
        <f t="array" ref="T67">SUM((E$64:E$69=M67)*(G$64:G$69&lt;&gt;"")*(H$64:H$69),(J$64:J$69=M67)*(H$64:H$69&lt;&gt;"")*(G$64:G$69))</f>
        <v>0</v>
      </c>
      <c r="U67" s="33">
        <f>S67-T67</f>
        <v>0</v>
      </c>
    </row>
    <row r="68" spans="2:21" ht="15" customHeight="1" thickBot="1" x14ac:dyDescent="0.3">
      <c r="B68" s="17">
        <v>44897</v>
      </c>
      <c r="C68" s="18">
        <v>0.375</v>
      </c>
      <c r="D68" s="19" t="s">
        <v>66</v>
      </c>
      <c r="E68" s="20" t="s">
        <v>18</v>
      </c>
      <c r="F68" s="28"/>
      <c r="G68" s="22"/>
      <c r="H68" s="23"/>
      <c r="I68" s="28"/>
      <c r="J68" s="24" t="s">
        <v>26</v>
      </c>
      <c r="L68" s="34" t="str" cm="1">
        <f t="array" ref="L68">IF(O68=0,"",(SUMPRODUCT(((1000*N68+10*U68+S68)&lt; (1000*(N$65:N$68)+10*(U$65:U$68)+(S$65:S$68)))+0)+1))</f>
        <v/>
      </c>
      <c r="M68" s="35" t="s">
        <v>18</v>
      </c>
      <c r="N68" s="36">
        <f>(P68*3+Q68*1)</f>
        <v>0</v>
      </c>
      <c r="O68" s="37">
        <f>SUM(P68:R68)</f>
        <v>0</v>
      </c>
      <c r="P68" s="37">
        <f t="array" ref="P68">SUM((E$64:E$69=M68)*(G$64:G$69&lt;&gt;"")*(H$64:H$69&lt;&gt;"")*(G$64:G$69&gt;H$64:H$69),(J$64:J$69=M68)*(G$64:G$69&lt;&gt;"")*(H$64:H$69&lt;&gt;"")*(G$64:G$69&lt;H$64:H$69))</f>
        <v>0</v>
      </c>
      <c r="Q68" s="37">
        <f t="array" ref="Q68">SUM((E$64:E$69=M68)*(G$64:G$69&lt;&gt;"")*(G$64:G$69=H$64:H$69),(J$64:J$69=M68)*(H$64:H$69&lt;&gt;"")*(G$64:G$69=H$64:H$69))</f>
        <v>0</v>
      </c>
      <c r="R68" s="37">
        <f t="array" ref="R68">SUM((E$64:E$69=M68)*(H$64:H$69&lt;&gt;"")*(G$64:G$69&lt;&gt;"")*(G$64:G$69&lt;H$64:H$69),(G$64:G$69&lt;&gt;"")*(J$64:J$69=M68)*(H$64:H$69&lt;&gt;"")*(G$64:G$69&gt;H$64:H$69))</f>
        <v>0</v>
      </c>
      <c r="S68" s="36">
        <f t="array" ref="S68">SUM((E$64:E$69=M68)*(G$64:G$69)*(H$64:H$69&lt;&gt;""),(J$64:J$69=M68)*(H$64:H$69)*(G$64:G$69&lt;&gt;""))</f>
        <v>0</v>
      </c>
      <c r="T68" s="36">
        <f t="array" ref="T68">SUM((E$64:E$69=M68)*(G$64:G$69&lt;&gt;"")*(H$64:H$69),(J$64:J$69=M68)*(H$64:H$69&lt;&gt;"")*(G$64:G$69))</f>
        <v>0</v>
      </c>
      <c r="U68" s="38">
        <f>S68-T68</f>
        <v>0</v>
      </c>
    </row>
    <row r="69" spans="2:21" ht="15" customHeight="1" thickBot="1" x14ac:dyDescent="0.3">
      <c r="B69" s="39">
        <v>44897</v>
      </c>
      <c r="C69" s="40">
        <v>0.375</v>
      </c>
      <c r="D69" s="41" t="s">
        <v>68</v>
      </c>
      <c r="E69" s="42" t="s">
        <v>61</v>
      </c>
      <c r="F69" s="43"/>
      <c r="G69" s="44"/>
      <c r="H69" s="45"/>
      <c r="I69" s="43"/>
      <c r="J69" s="46" t="s">
        <v>14</v>
      </c>
      <c r="K69" s="48"/>
      <c r="L69" s="49"/>
    </row>
    <row r="70" spans="2:21" ht="15" customHeight="1" thickBot="1" x14ac:dyDescent="0.3"/>
    <row r="71" spans="2:21" ht="15" customHeight="1" x14ac:dyDescent="0.25">
      <c r="L71" s="25" t="s">
        <v>41</v>
      </c>
      <c r="M71" s="50" t="s">
        <v>5</v>
      </c>
      <c r="N71" s="51" t="s">
        <v>6</v>
      </c>
      <c r="O71" s="50" t="s">
        <v>7</v>
      </c>
      <c r="P71" s="50" t="s">
        <v>8</v>
      </c>
      <c r="Q71" s="50" t="s">
        <v>9</v>
      </c>
      <c r="R71" s="50" t="s">
        <v>10</v>
      </c>
      <c r="S71" s="50" t="s">
        <v>11</v>
      </c>
      <c r="T71" s="50" t="s">
        <v>12</v>
      </c>
      <c r="U71" s="50" t="s">
        <v>13</v>
      </c>
    </row>
    <row r="72" spans="2:21" ht="15" customHeight="1" x14ac:dyDescent="0.25">
      <c r="L72" s="52">
        <f t="shared" ref="L72:L87" ca="1" si="0">IF(COUNTIF(M$90:M$97,$M72),INDEX(L$90:L$97,MATCH($M72,M$90:M$97,0)),(SUMPRODUCT(((1000*O72*P72+30*S72-20*T72+U72)&lt;(1000*(O$72:O$87)*(P$72:P$87)+30*(S$72:S$87)-20*(T$72:T$87)+(U$72:U$87)))+0)+1))</f>
        <v>1</v>
      </c>
      <c r="M72" s="53" t="str">
        <f>IF(LEFT($E76,2)="1.","-",$E76)</f>
        <v>-</v>
      </c>
      <c r="N72" s="54"/>
      <c r="O72" s="55">
        <f t="shared" ref="O72:O87" si="1">IF(M72="-",0,IF(COUNTIF($E$92:$J$95,M72),1,IF(COUNTIF($E$76:$E$83,M72)=1,IF(COUNTIF($E$92:$J$95,VLOOKUP(M72,$E$76:$J$83,6,FALSE))=1,1,0),IF(COUNTIF($E$92:$J$95,INDEX($E$76:$E$83,MATCH(M72,$J$76:$J$83,0),1))=1,1,0))))</f>
        <v>0</v>
      </c>
      <c r="P72" s="32">
        <f t="shared" ref="P72:P87" si="2">IF($O72=1,IF(COUNTIF($E$76:$E$83,$M72)=1,IF(((VLOOKUP($M72,$E$76:$I$83,2,FALSE)+VLOOKUP($M72,$E$76:$I$83,3,FALSE)))&gt;(VLOOKUP($M72,$E$76:$I$83,4,FALSE)+VLOOKUP($M72,$E$76:$I$83,5,FALSE)),1,0),IF((INDEX($F$76:$F$83,MATCH($M72,$J$76:$J$83,0))+INDEX($G$76:$G$83,MATCH($M72,$J$76:$J$83,0)))&gt;(INDEX($H$76:$H$83,MATCH($M72,$J$76:$J$83,0))+INDEX($I$76:$I$83,MATCH($M72,$J$76:$J$83,0))),0,1)),0)</f>
        <v>0</v>
      </c>
      <c r="Q72" s="56"/>
      <c r="R72" s="57">
        <f t="shared" ref="R72:R87" si="3">ABS(O72-P72)</f>
        <v>0</v>
      </c>
      <c r="S72" s="58">
        <f t="shared" ref="S72:S87" si="4">IF($O72=1,IF(COUNTIF($E$76:$E$83,$M72)=1,VLOOKUP($M72,$E$76:$H$83,3,FALSE),INDEX($H$76:$H$83,MATCH($M72,$J$76:$J$83,0),1)),0)</f>
        <v>0</v>
      </c>
      <c r="T72" s="58">
        <f t="shared" ref="T72:T87" si="5">IF($O72=1,IF(COUNTIF($E$76:$E$83,$M72)=1,VLOOKUP($M72,$E$76:$H$83,4,FALSE),INDEX($G$76:$G$83,MATCH($M72,$J$76:$J$83,0),1)),0)</f>
        <v>0</v>
      </c>
      <c r="U72" s="59">
        <f t="shared" ref="U72:U87" si="6">IF($O72=1,IF(COUNTIF($E$76:$E$83,$M72)=1,VLOOKUP($M72,$E$76:$I$83,2,FALSE),INDEX($I$76:$I$83,MATCH($M72,$J$76:$J$83,0),1)),0)+S72-T72-IF($O72=1,IF(COUNTIF($E$76:$E$83,$M72)=1,VLOOKUP($M72,$E$76:$I$83,5,FALSE),INDEX($F$76:$F$83,MATCH($M72,$J$76:$J$83,0),1)),0)</f>
        <v>0</v>
      </c>
    </row>
    <row r="73" spans="2:21" ht="15" customHeight="1" x14ac:dyDescent="0.25">
      <c r="L73" s="52">
        <f t="shared" ca="1" si="0"/>
        <v>1</v>
      </c>
      <c r="M73" s="53" t="str">
        <f t="shared" ref="M73:M79" si="7">IF(LEFT($E77,2)="1.","-",$E77)</f>
        <v>-</v>
      </c>
      <c r="N73" s="60"/>
      <c r="O73" s="55">
        <f t="shared" si="1"/>
        <v>0</v>
      </c>
      <c r="P73" s="32">
        <f t="shared" si="2"/>
        <v>0</v>
      </c>
      <c r="Q73" s="61"/>
      <c r="R73" s="57">
        <f t="shared" si="3"/>
        <v>0</v>
      </c>
      <c r="S73" s="58">
        <f t="shared" si="4"/>
        <v>0</v>
      </c>
      <c r="T73" s="58">
        <f t="shared" si="5"/>
        <v>0</v>
      </c>
      <c r="U73" s="59">
        <f t="shared" si="6"/>
        <v>0</v>
      </c>
    </row>
    <row r="74" spans="2:21" ht="15" customHeight="1" thickBot="1" x14ac:dyDescent="0.3">
      <c r="L74" s="52">
        <f t="shared" ca="1" si="0"/>
        <v>1</v>
      </c>
      <c r="M74" s="53" t="str">
        <f t="shared" si="7"/>
        <v>-</v>
      </c>
      <c r="N74" s="60"/>
      <c r="O74" s="55">
        <f t="shared" si="1"/>
        <v>0</v>
      </c>
      <c r="P74" s="32">
        <f t="shared" si="2"/>
        <v>0</v>
      </c>
      <c r="Q74" s="61"/>
      <c r="R74" s="57">
        <f t="shared" si="3"/>
        <v>0</v>
      </c>
      <c r="S74" s="58">
        <f t="shared" si="4"/>
        <v>0</v>
      </c>
      <c r="T74" s="58">
        <f t="shared" si="5"/>
        <v>0</v>
      </c>
      <c r="U74" s="59">
        <f t="shared" si="6"/>
        <v>0</v>
      </c>
    </row>
    <row r="75" spans="2:21" ht="15" customHeight="1" x14ac:dyDescent="0.25">
      <c r="B75" s="62" t="s">
        <v>1</v>
      </c>
      <c r="C75" s="15" t="s">
        <v>2</v>
      </c>
      <c r="D75" s="16" t="s">
        <v>3</v>
      </c>
      <c r="E75" s="119" t="s">
        <v>31</v>
      </c>
      <c r="F75" s="119"/>
      <c r="G75" s="119"/>
      <c r="H75" s="119"/>
      <c r="I75" s="119"/>
      <c r="J75" s="121"/>
      <c r="L75" s="52">
        <f t="shared" ca="1" si="0"/>
        <v>1</v>
      </c>
      <c r="M75" s="53" t="str">
        <f t="shared" si="7"/>
        <v>-</v>
      </c>
      <c r="N75" s="60"/>
      <c r="O75" s="55">
        <f t="shared" si="1"/>
        <v>0</v>
      </c>
      <c r="P75" s="32">
        <f t="shared" si="2"/>
        <v>0</v>
      </c>
      <c r="Q75" s="61"/>
      <c r="R75" s="57">
        <f t="shared" si="3"/>
        <v>0</v>
      </c>
      <c r="S75" s="58">
        <f t="shared" si="4"/>
        <v>0</v>
      </c>
      <c r="T75" s="58">
        <f t="shared" si="5"/>
        <v>0</v>
      </c>
      <c r="U75" s="59">
        <f t="shared" si="6"/>
        <v>0</v>
      </c>
    </row>
    <row r="76" spans="2:21" ht="15" customHeight="1" x14ac:dyDescent="0.25">
      <c r="B76" s="63">
        <v>44898</v>
      </c>
      <c r="C76" s="18">
        <v>0.375</v>
      </c>
      <c r="D76" s="19" t="s">
        <v>69</v>
      </c>
      <c r="E76" s="32" t="str">
        <f>IF(SUM(O$9:$O12)=12,VLOOKUP(1,$L$9:$M$12,2,FALSE),"1. Grupo A")</f>
        <v>1. Grupo A</v>
      </c>
      <c r="F76" s="64"/>
      <c r="G76" s="65"/>
      <c r="H76" s="65"/>
      <c r="I76" s="64"/>
      <c r="J76" s="66" t="str">
        <f ca="1">IF(SUM(O$17:O$20)=12,IF(COUNTIF($L$17:$L$20,1)&gt;=2,(VLOOKUP(1,INDIRECT(ADDRESS(ROW(L$17:L$20)+MATCH(1,(L$17:L$20),0),COLUMN($L$8))&amp;":$M$20"),2,FALSE)),VLOOKUP(2,$L$17:$M$20,2,FALSE)),"2. Grupo B")</f>
        <v>2. Grupo B</v>
      </c>
      <c r="L76" s="52">
        <f t="shared" ca="1" si="0"/>
        <v>1</v>
      </c>
      <c r="M76" s="53" t="str">
        <f t="shared" si="7"/>
        <v>-</v>
      </c>
      <c r="N76" s="60"/>
      <c r="O76" s="55">
        <f t="shared" si="1"/>
        <v>0</v>
      </c>
      <c r="P76" s="32">
        <f t="shared" si="2"/>
        <v>0</v>
      </c>
      <c r="Q76" s="61"/>
      <c r="R76" s="57">
        <f t="shared" si="3"/>
        <v>0</v>
      </c>
      <c r="S76" s="58">
        <f t="shared" si="4"/>
        <v>0</v>
      </c>
      <c r="T76" s="58">
        <f t="shared" si="5"/>
        <v>0</v>
      </c>
      <c r="U76" s="59">
        <f t="shared" si="6"/>
        <v>0</v>
      </c>
    </row>
    <row r="77" spans="2:21" ht="15" customHeight="1" x14ac:dyDescent="0.25">
      <c r="B77" s="63">
        <v>44898</v>
      </c>
      <c r="C77" s="18">
        <v>0.54166666666666663</v>
      </c>
      <c r="D77" s="19" t="s">
        <v>70</v>
      </c>
      <c r="E77" s="32" t="str">
        <f>IF(SUM(O$25:O$28)=12,VLOOKUP(1,$L$25:$M$28,2,FALSE),"1. Grupo C")</f>
        <v>1. Grupo C</v>
      </c>
      <c r="F77" s="64"/>
      <c r="G77" s="65"/>
      <c r="H77" s="65"/>
      <c r="I77" s="64"/>
      <c r="J77" s="66" t="str">
        <f ca="1">IF(SUM(O$33:O$36)=12,IF(COUNTIF($L$33:$L$36,1)&gt;=2,(VLOOKUP(1,INDIRECT(ADDRESS(ROW(L$33:L$36)+MATCH(1,(L$33:L$36),0),COLUMN($L$8))&amp;":$M$36"),2,FALSE)),VLOOKUP(2,$L$33:$M$36,2,FALSE)),"2. Grupo D")</f>
        <v>2. Grupo D</v>
      </c>
      <c r="L77" s="52">
        <f t="shared" ca="1" si="0"/>
        <v>1</v>
      </c>
      <c r="M77" s="53" t="str">
        <f t="shared" si="7"/>
        <v>-</v>
      </c>
      <c r="N77" s="60"/>
      <c r="O77" s="55">
        <f t="shared" si="1"/>
        <v>0</v>
      </c>
      <c r="P77" s="32">
        <f t="shared" si="2"/>
        <v>0</v>
      </c>
      <c r="Q77" s="61"/>
      <c r="R77" s="57">
        <f t="shared" si="3"/>
        <v>0</v>
      </c>
      <c r="S77" s="58">
        <f t="shared" si="4"/>
        <v>0</v>
      </c>
      <c r="T77" s="58">
        <f t="shared" si="5"/>
        <v>0</v>
      </c>
      <c r="U77" s="59">
        <f t="shared" si="6"/>
        <v>0</v>
      </c>
    </row>
    <row r="78" spans="2:21" ht="15" customHeight="1" x14ac:dyDescent="0.25">
      <c r="B78" s="63">
        <v>44899</v>
      </c>
      <c r="C78" s="18">
        <v>0.375</v>
      </c>
      <c r="D78" s="19" t="s">
        <v>63</v>
      </c>
      <c r="E78" s="32" t="str">
        <f>IF(SUM(O$33:O$36)=12,VLOOKUP(1,$L$33:$M$36,2,FALSE),"1. Grupo D")</f>
        <v>1. Grupo D</v>
      </c>
      <c r="F78" s="64"/>
      <c r="G78" s="65"/>
      <c r="H78" s="65"/>
      <c r="I78" s="64"/>
      <c r="J78" s="66" t="str">
        <f ca="1">IF(SUM(O$25:O$28)=12,IF(COUNTIF($L$25:$L$28,1)&gt;=2,(VLOOKUP(1,INDIRECT(ADDRESS(ROW(L$25:L$28)+MATCH(1,(L$25:L$28),0),COLUMN($L$8))&amp;":$M$28"),2,FALSE)),VLOOKUP(2,$L$25:$M$28,2,FALSE)),"2. Grupo C")</f>
        <v>2. Grupo C</v>
      </c>
      <c r="L78" s="52">
        <f t="shared" ca="1" si="0"/>
        <v>1</v>
      </c>
      <c r="M78" s="53" t="str">
        <f t="shared" si="7"/>
        <v>-</v>
      </c>
      <c r="N78" s="60"/>
      <c r="O78" s="55">
        <f t="shared" si="1"/>
        <v>0</v>
      </c>
      <c r="P78" s="32">
        <f t="shared" si="2"/>
        <v>0</v>
      </c>
      <c r="Q78" s="61"/>
      <c r="R78" s="57">
        <f t="shared" si="3"/>
        <v>0</v>
      </c>
      <c r="S78" s="58">
        <f t="shared" si="4"/>
        <v>0</v>
      </c>
      <c r="T78" s="58">
        <f t="shared" si="5"/>
        <v>0</v>
      </c>
      <c r="U78" s="59">
        <f t="shared" si="6"/>
        <v>0</v>
      </c>
    </row>
    <row r="79" spans="2:21" ht="15" customHeight="1" x14ac:dyDescent="0.25">
      <c r="B79" s="63">
        <v>44899</v>
      </c>
      <c r="C79" s="18">
        <v>0.54166666666666663</v>
      </c>
      <c r="D79" s="19" t="s">
        <v>64</v>
      </c>
      <c r="E79" s="32" t="str">
        <f>IF(SUM(O$17:$O20)=12,VLOOKUP(1,$L$17:$M$20,2,FALSE),"1. Grupo B")</f>
        <v>1. Grupo B</v>
      </c>
      <c r="F79" s="64"/>
      <c r="G79" s="65"/>
      <c r="H79" s="65"/>
      <c r="I79" s="64"/>
      <c r="J79" s="66" t="str">
        <f ca="1">IF(SUM(O$9:O$12)=12,IF(COUNTIF($L$9:$L$12,1)&gt;=2,(VLOOKUP(1,INDIRECT(ADDRESS(ROW(L$9:L$12)+MATCH(1,(L$9:L$12),0),COLUMN($L$8))&amp;":$M$12"),2,FALSE)),VLOOKUP(2,$L$9:$M$12,2,FALSE)),"2. Grupo A")</f>
        <v>2. Grupo A</v>
      </c>
      <c r="L79" s="52">
        <f t="shared" ca="1" si="0"/>
        <v>1</v>
      </c>
      <c r="M79" s="53" t="str">
        <f t="shared" si="7"/>
        <v>-</v>
      </c>
      <c r="N79" s="60"/>
      <c r="O79" s="55">
        <f t="shared" si="1"/>
        <v>0</v>
      </c>
      <c r="P79" s="32">
        <f t="shared" si="2"/>
        <v>0</v>
      </c>
      <c r="Q79" s="61"/>
      <c r="R79" s="57">
        <f t="shared" si="3"/>
        <v>0</v>
      </c>
      <c r="S79" s="58">
        <f t="shared" si="4"/>
        <v>0</v>
      </c>
      <c r="T79" s="58">
        <f t="shared" si="5"/>
        <v>0</v>
      </c>
      <c r="U79" s="59">
        <f t="shared" si="6"/>
        <v>0</v>
      </c>
    </row>
    <row r="80" spans="2:21" ht="15" customHeight="1" x14ac:dyDescent="0.25">
      <c r="B80" s="63">
        <v>44900</v>
      </c>
      <c r="C80" s="18">
        <v>0.375</v>
      </c>
      <c r="D80" s="19" t="s">
        <v>68</v>
      </c>
      <c r="E80" s="32" t="str">
        <f>IF(SUM(O$41:O$44)=12,VLOOKUP(1,$L$41:$M$44,2,FALSE),"1. Grupo E")</f>
        <v>1. Grupo E</v>
      </c>
      <c r="F80" s="64"/>
      <c r="G80" s="65"/>
      <c r="H80" s="65"/>
      <c r="I80" s="64"/>
      <c r="J80" s="67" t="str">
        <f ca="1">IF(SUM(O$49:O$52)=12,IF(COUNTIF($L$49:$L$52,1)&gt;=2,(VLOOKUP(1,INDIRECT(ADDRESS(ROW(L$49:L$52)+MATCH(1,(L$49:L$52),0),COLUMN($L$8))&amp;":$M$52"),2,FALSE)),VLOOKUP(2,$L$49:$M$52,2,FALSE)),"2. Grupo F")</f>
        <v>2. Grupo F</v>
      </c>
      <c r="L80" s="52">
        <f t="shared" ca="1" si="0"/>
        <v>1</v>
      </c>
      <c r="M80" s="53" t="str">
        <f ca="1">IF(LEFT($J76,2)="2.","-",$J76)</f>
        <v>-</v>
      </c>
      <c r="N80" s="60"/>
      <c r="O80" s="55">
        <f t="shared" ca="1" si="1"/>
        <v>0</v>
      </c>
      <c r="P80" s="32">
        <f t="shared" ca="1" si="2"/>
        <v>0</v>
      </c>
      <c r="Q80" s="61"/>
      <c r="R80" s="57">
        <f t="shared" ca="1" si="3"/>
        <v>0</v>
      </c>
      <c r="S80" s="58">
        <f t="shared" ca="1" si="4"/>
        <v>0</v>
      </c>
      <c r="T80" s="58">
        <f t="shared" ca="1" si="5"/>
        <v>0</v>
      </c>
      <c r="U80" s="59">
        <f t="shared" ca="1" si="6"/>
        <v>0</v>
      </c>
    </row>
    <row r="81" spans="2:21" ht="15" customHeight="1" x14ac:dyDescent="0.25">
      <c r="B81" s="63">
        <v>44900</v>
      </c>
      <c r="C81" s="18">
        <v>0.54166666666666663</v>
      </c>
      <c r="D81" s="19" t="s">
        <v>67</v>
      </c>
      <c r="E81" s="32" t="str">
        <f>IF(SUM(O$57:O$60)=12,VLOOKUP(1,$L$57:$M$60,2,FALSE),"1. Grupo G")</f>
        <v>1. Grupo G</v>
      </c>
      <c r="F81" s="64"/>
      <c r="G81" s="65"/>
      <c r="H81" s="65"/>
      <c r="I81" s="64"/>
      <c r="J81" s="66" t="str">
        <f ca="1">IF(SUM(O$65:O$68)=12,IF(COUNTIF($L$65:$L$68,1)&gt;=2,(VLOOKUP(1,INDIRECT(ADDRESS(ROW(L$65:L$68)+MATCH(1,(L$65:L$68),0),COLUMN($L$8))&amp;":$M$68"),2,FALSE)),VLOOKUP(2,$L$65:$M$68,2,FALSE)),"2. Grupo H")</f>
        <v>2. Grupo H</v>
      </c>
      <c r="L81" s="52">
        <f t="shared" ca="1" si="0"/>
        <v>1</v>
      </c>
      <c r="M81" s="53" t="str">
        <f t="shared" ref="M81:M87" ca="1" si="8">IF(LEFT($J77,2)="2.","-",$J77)</f>
        <v>-</v>
      </c>
      <c r="N81" s="60"/>
      <c r="O81" s="55">
        <f t="shared" ca="1" si="1"/>
        <v>0</v>
      </c>
      <c r="P81" s="32">
        <f t="shared" ca="1" si="2"/>
        <v>0</v>
      </c>
      <c r="Q81" s="61"/>
      <c r="R81" s="57">
        <f t="shared" ca="1" si="3"/>
        <v>0</v>
      </c>
      <c r="S81" s="58">
        <f t="shared" ca="1" si="4"/>
        <v>0</v>
      </c>
      <c r="T81" s="58">
        <f t="shared" ca="1" si="5"/>
        <v>0</v>
      </c>
      <c r="U81" s="59">
        <f t="shared" ca="1" si="6"/>
        <v>0</v>
      </c>
    </row>
    <row r="82" spans="2:21" ht="15" customHeight="1" x14ac:dyDescent="0.25">
      <c r="B82" s="63">
        <v>44901</v>
      </c>
      <c r="C82" s="18">
        <v>0.375</v>
      </c>
      <c r="D82" s="19" t="s">
        <v>66</v>
      </c>
      <c r="E82" s="32" t="str">
        <f>IF(SUM(O$49:O$52)=12,VLOOKUP(1,$L$49:$M$52,2,FALSE),"1. Grupo F")</f>
        <v>1. Grupo F</v>
      </c>
      <c r="F82" s="64"/>
      <c r="G82" s="65"/>
      <c r="H82" s="65"/>
      <c r="I82" s="64"/>
      <c r="J82" s="66" t="str">
        <f ca="1">IF(SUM(O$41:O$44)=12,IF(COUNTIF($L$41:$L$44,1)&gt;=2,(VLOOKUP(1,INDIRECT(ADDRESS(ROW(L$41:L$44)+MATCH(1,(L$41:L$44),0),COLUMN($L$8))&amp;":$M$44"),2,FALSE)),VLOOKUP(2,$L$41:$M$44,2,FALSE)),"2. Grupo E")</f>
        <v>2. Grupo E</v>
      </c>
      <c r="L82" s="52">
        <f t="shared" ca="1" si="0"/>
        <v>1</v>
      </c>
      <c r="M82" s="53" t="str">
        <f t="shared" ca="1" si="8"/>
        <v>-</v>
      </c>
      <c r="N82" s="60"/>
      <c r="O82" s="55">
        <f t="shared" ca="1" si="1"/>
        <v>0</v>
      </c>
      <c r="P82" s="32">
        <f t="shared" ca="1" si="2"/>
        <v>0</v>
      </c>
      <c r="Q82" s="61"/>
      <c r="R82" s="57">
        <f t="shared" ca="1" si="3"/>
        <v>0</v>
      </c>
      <c r="S82" s="58">
        <f t="shared" ca="1" si="4"/>
        <v>0</v>
      </c>
      <c r="T82" s="58">
        <f t="shared" ca="1" si="5"/>
        <v>0</v>
      </c>
      <c r="U82" s="59">
        <f t="shared" ca="1" si="6"/>
        <v>0</v>
      </c>
    </row>
    <row r="83" spans="2:21" ht="15" customHeight="1" x14ac:dyDescent="0.25">
      <c r="B83" s="63">
        <v>44901</v>
      </c>
      <c r="C83" s="18">
        <v>0.54166666666666663</v>
      </c>
      <c r="D83" s="19" t="s">
        <v>73</v>
      </c>
      <c r="E83" s="32" t="str">
        <f>IF(SUM(O$65:O$68)=12,VLOOKUP(1,$L$65:$M$68,2,FALSE),"1. Grupo H")</f>
        <v>1. Grupo H</v>
      </c>
      <c r="F83" s="64"/>
      <c r="G83" s="65"/>
      <c r="H83" s="65"/>
      <c r="I83" s="64"/>
      <c r="J83" s="66" t="str">
        <f ca="1">IF(SUM(O$57:O$60)=12,IF(COUNTIF($L$57:$L$60,1)&gt;=2,(VLOOKUP(1,INDIRECT(ADDRESS(ROW(L$57:L$60)+MATCH(1,(L$57:L$60),0),COLUMN($L$8))&amp;":$M$60"),2,FALSE)),VLOOKUP(2,$L$57:$M$60,2,FALSE)),"2. Grupo G")</f>
        <v>2. Grupo G</v>
      </c>
      <c r="L83" s="52">
        <f t="shared" ca="1" si="0"/>
        <v>1</v>
      </c>
      <c r="M83" s="53" t="str">
        <f t="shared" ca="1" si="8"/>
        <v>-</v>
      </c>
      <c r="N83" s="60"/>
      <c r="O83" s="55">
        <f t="shared" ca="1" si="1"/>
        <v>0</v>
      </c>
      <c r="P83" s="32">
        <f t="shared" ca="1" si="2"/>
        <v>0</v>
      </c>
      <c r="Q83" s="61"/>
      <c r="R83" s="57">
        <f t="shared" ca="1" si="3"/>
        <v>0</v>
      </c>
      <c r="S83" s="58">
        <f t="shared" ca="1" si="4"/>
        <v>0</v>
      </c>
      <c r="T83" s="58">
        <f t="shared" ca="1" si="5"/>
        <v>0</v>
      </c>
      <c r="U83" s="59">
        <f t="shared" ca="1" si="6"/>
        <v>0</v>
      </c>
    </row>
    <row r="84" spans="2:21" ht="15" customHeight="1" x14ac:dyDescent="0.25">
      <c r="L84" s="52">
        <f t="shared" ca="1" si="0"/>
        <v>1</v>
      </c>
      <c r="M84" s="53" t="str">
        <f t="shared" ca="1" si="8"/>
        <v>-</v>
      </c>
      <c r="N84" s="60"/>
      <c r="O84" s="55">
        <f t="shared" ca="1" si="1"/>
        <v>0</v>
      </c>
      <c r="P84" s="32">
        <f t="shared" ca="1" si="2"/>
        <v>0</v>
      </c>
      <c r="Q84" s="61"/>
      <c r="R84" s="57">
        <f t="shared" ca="1" si="3"/>
        <v>0</v>
      </c>
      <c r="S84" s="58">
        <f t="shared" ca="1" si="4"/>
        <v>0</v>
      </c>
      <c r="T84" s="58">
        <f t="shared" ca="1" si="5"/>
        <v>0</v>
      </c>
      <c r="U84" s="59">
        <f t="shared" ca="1" si="6"/>
        <v>0</v>
      </c>
    </row>
    <row r="85" spans="2:21" ht="15" customHeight="1" x14ac:dyDescent="0.25">
      <c r="L85" s="52">
        <f t="shared" ca="1" si="0"/>
        <v>1</v>
      </c>
      <c r="M85" s="53" t="str">
        <f t="shared" ca="1" si="8"/>
        <v>-</v>
      </c>
      <c r="N85" s="60"/>
      <c r="O85" s="55">
        <f t="shared" ca="1" si="1"/>
        <v>0</v>
      </c>
      <c r="P85" s="32">
        <f t="shared" ca="1" si="2"/>
        <v>0</v>
      </c>
      <c r="Q85" s="61"/>
      <c r="R85" s="57">
        <f t="shared" ca="1" si="3"/>
        <v>0</v>
      </c>
      <c r="S85" s="58">
        <f t="shared" ca="1" si="4"/>
        <v>0</v>
      </c>
      <c r="T85" s="58">
        <f t="shared" ca="1" si="5"/>
        <v>0</v>
      </c>
      <c r="U85" s="59">
        <f t="shared" ca="1" si="6"/>
        <v>0</v>
      </c>
    </row>
    <row r="86" spans="2:21" ht="15" customHeight="1" x14ac:dyDescent="0.25">
      <c r="L86" s="52">
        <f t="shared" ca="1" si="0"/>
        <v>1</v>
      </c>
      <c r="M86" s="53" t="str">
        <f t="shared" ca="1" si="8"/>
        <v>-</v>
      </c>
      <c r="N86" s="60"/>
      <c r="O86" s="55">
        <f t="shared" ca="1" si="1"/>
        <v>0</v>
      </c>
      <c r="P86" s="32">
        <f t="shared" ca="1" si="2"/>
        <v>0</v>
      </c>
      <c r="Q86" s="61"/>
      <c r="R86" s="57">
        <f t="shared" ca="1" si="3"/>
        <v>0</v>
      </c>
      <c r="S86" s="58">
        <f t="shared" ca="1" si="4"/>
        <v>0</v>
      </c>
      <c r="T86" s="58">
        <f t="shared" ca="1" si="5"/>
        <v>0</v>
      </c>
      <c r="U86" s="59">
        <f t="shared" ca="1" si="6"/>
        <v>0</v>
      </c>
    </row>
    <row r="87" spans="2:21" ht="15" customHeight="1" x14ac:dyDescent="0.25">
      <c r="L87" s="52">
        <f t="shared" ca="1" si="0"/>
        <v>1</v>
      </c>
      <c r="M87" s="53" t="str">
        <f t="shared" ca="1" si="8"/>
        <v>-</v>
      </c>
      <c r="N87" s="70"/>
      <c r="O87" s="55">
        <f t="shared" ca="1" si="1"/>
        <v>0</v>
      </c>
      <c r="P87" s="32">
        <f t="shared" ca="1" si="2"/>
        <v>0</v>
      </c>
      <c r="Q87" s="71"/>
      <c r="R87" s="57">
        <f t="shared" ca="1" si="3"/>
        <v>0</v>
      </c>
      <c r="S87" s="58">
        <f t="shared" ca="1" si="4"/>
        <v>0</v>
      </c>
      <c r="T87" s="58">
        <f t="shared" ca="1" si="5"/>
        <v>0</v>
      </c>
      <c r="U87" s="59">
        <f t="shared" ca="1" si="6"/>
        <v>0</v>
      </c>
    </row>
    <row r="88" spans="2:21" ht="15" customHeight="1" thickBot="1" x14ac:dyDescent="0.3">
      <c r="B88" s="1"/>
      <c r="C88" s="1"/>
      <c r="E88" s="1"/>
      <c r="F88" s="1"/>
      <c r="G88" s="1"/>
      <c r="H88" s="1"/>
      <c r="I88" s="1"/>
    </row>
    <row r="89" spans="2:21" ht="15" customHeight="1" x14ac:dyDescent="0.25">
      <c r="B89" s="1"/>
      <c r="C89" s="1"/>
      <c r="E89" s="1"/>
      <c r="F89" s="1"/>
      <c r="G89" s="1"/>
      <c r="H89" s="1"/>
      <c r="I89" s="1"/>
      <c r="L89" s="25" t="s">
        <v>41</v>
      </c>
      <c r="M89" s="50" t="s">
        <v>5</v>
      </c>
      <c r="N89" s="51" t="s">
        <v>6</v>
      </c>
      <c r="O89" s="50" t="s">
        <v>7</v>
      </c>
      <c r="P89" s="50" t="s">
        <v>8</v>
      </c>
      <c r="Q89" s="50" t="s">
        <v>9</v>
      </c>
      <c r="R89" s="50" t="s">
        <v>10</v>
      </c>
      <c r="S89" s="50" t="s">
        <v>11</v>
      </c>
      <c r="T89" s="50" t="s">
        <v>12</v>
      </c>
      <c r="U89" s="50" t="s">
        <v>13</v>
      </c>
    </row>
    <row r="90" spans="2:21" ht="15" customHeight="1" thickBot="1" x14ac:dyDescent="0.3">
      <c r="B90" s="1"/>
      <c r="C90" s="1"/>
      <c r="E90" s="1"/>
      <c r="F90" s="1"/>
      <c r="G90" s="1"/>
      <c r="H90" s="1"/>
      <c r="I90" s="1"/>
      <c r="J90" s="1"/>
      <c r="L90" s="52" t="str">
        <f t="shared" ref="L90:L97" ca="1" si="9">IF(COUNTIF(M$100:M$103,$M90),INDEX(L$100:L$103,MATCH($M90,M$100:M$103,0)),IF($O90=0,"",(SUMPRODUCT(((1000*O90*P90+30*S90-20*T90+U90)&lt;(1000*(O$90:O$97)*(P$90:P$97)+30*(S$90:S$97)-20*(T$90:T$97)+(U$90:U$97)))+0)+1)))</f>
        <v/>
      </c>
      <c r="M90" s="53" t="str">
        <f ca="1">IF(LEFT($E92,2)="Vence","-",$E92)</f>
        <v>Vencedor OF5</v>
      </c>
      <c r="N90" s="54"/>
      <c r="O90" s="55">
        <f t="shared" ref="O90:O97" ca="1" si="10">IF(M90="-",0,IF(COUNTIF($E$101:$J$102,M90),1,IF(COUNTIF($E$92:$E$95,M90)=1,IF(COUNTIF($E$101:$J$102,VLOOKUP(M90,$E$92:$J$95,6,FALSE))=1,1,0),IF(COUNTIF($E$101:$J$102,INDEX($E$92:$E$95,MATCH(M90,$J$92:$J$95,0),1))=1,1,0))))</f>
        <v>0</v>
      </c>
      <c r="P90" s="32">
        <f t="shared" ref="P90:P97" ca="1" si="11">IF($O90=1,IF(COUNTIF($E$92:$E$95,$M90)=1,IF(((VLOOKUP($M90,$E$92:$I$95,2,FALSE)+VLOOKUP($M90,$E$92:$I$95,3,FALSE)))&gt;(VLOOKUP($M90,$E$92:$I$95,4,FALSE)+VLOOKUP($M90,$E$92:$I$95,5,FALSE)),1,0),IF((INDEX($F$92:$F$95,MATCH($M90,$J$92:$J$95,0))+INDEX($G$92:$G$95,MATCH($M90,$J$92:$J$95,0)))&gt;(INDEX($H$92:$H$95,MATCH($M90,$J$92:$J$95,0))+INDEX($I$92:$I$95,MATCH($M90,$J$92:$J$95,0))),0,1)),0)</f>
        <v>0</v>
      </c>
      <c r="Q90" s="56"/>
      <c r="R90" s="57">
        <f t="shared" ref="R90:R97" ca="1" si="12">ABS(O90-P90)</f>
        <v>0</v>
      </c>
      <c r="S90" s="58">
        <f t="shared" ref="S90:S97" ca="1" si="13">IF($O90=1,IF(COUNTIF($E$92:$E$95,$M90)=1,VLOOKUP($M90,$E$92:$H$95,3,FALSE),INDEX($H$92:$H$95,MATCH($M90,$J$92:$J$95,0),1)),0)</f>
        <v>0</v>
      </c>
      <c r="T90" s="58">
        <f t="shared" ref="T90:T97" ca="1" si="14">IF($O90=1,IF(COUNTIF($E$92:$E$95,$M90)=1,VLOOKUP($M90,$E$92:$H$95,4,FALSE),INDEX($G$92:$G$95,MATCH($M90,$J$92:$J$95,0),1)),0)</f>
        <v>0</v>
      </c>
      <c r="U90" s="59">
        <f t="shared" ref="U90:U97" ca="1" si="15">IF($O90=1,IF(COUNTIF($E$92:$E$95,$M90)=1,VLOOKUP($M90,$E$92:$I$95,2,FALSE),INDEX($I$92:$I$95,MATCH($M90,$J$92:$J$95,0),1)),0)+S90-T90-IF($O90=1,IF(COUNTIF($E$92:$E$95,$M90)=1,VLOOKUP($M90,$E$92:$I$95,5,FALSE),INDEX($F$92:$F$95,MATCH($M90,$J$92:$J$95,0),1)),0)</f>
        <v>0</v>
      </c>
    </row>
    <row r="91" spans="2:21" x14ac:dyDescent="0.25">
      <c r="B91" s="62" t="s">
        <v>1</v>
      </c>
      <c r="C91" s="15" t="s">
        <v>2</v>
      </c>
      <c r="D91" s="16" t="s">
        <v>3</v>
      </c>
      <c r="E91" s="110" t="s">
        <v>32</v>
      </c>
      <c r="F91" s="111"/>
      <c r="G91" s="111"/>
      <c r="H91" s="111"/>
      <c r="I91" s="111"/>
      <c r="J91" s="112"/>
      <c r="L91" s="52" t="str">
        <f t="shared" ca="1" si="9"/>
        <v/>
      </c>
      <c r="M91" s="53" t="str">
        <f ca="1">IF(LEFT($E93,2)="Vence","-",$E93)</f>
        <v>Vencedor OF1</v>
      </c>
      <c r="N91" s="60"/>
      <c r="O91" s="55">
        <f t="shared" ca="1" si="10"/>
        <v>0</v>
      </c>
      <c r="P91" s="32">
        <f t="shared" ca="1" si="11"/>
        <v>0</v>
      </c>
      <c r="Q91" s="61"/>
      <c r="R91" s="57">
        <f t="shared" ca="1" si="12"/>
        <v>0</v>
      </c>
      <c r="S91" s="58">
        <f t="shared" ca="1" si="13"/>
        <v>0</v>
      </c>
      <c r="T91" s="58">
        <f t="shared" ca="1" si="14"/>
        <v>0</v>
      </c>
      <c r="U91" s="59">
        <f t="shared" ca="1" si="15"/>
        <v>0</v>
      </c>
    </row>
    <row r="92" spans="2:21" x14ac:dyDescent="0.25">
      <c r="B92" s="63">
        <v>44904</v>
      </c>
      <c r="C92" s="18">
        <v>0.375</v>
      </c>
      <c r="D92" s="19" t="s">
        <v>66</v>
      </c>
      <c r="E92" s="57" t="str">
        <f ca="1">IF((OR(LEFT(E80,2)="1.",LEFT(J80,2)="2.")),"Vencedor OF5",IF(AND(COUNT(F80:I80)=4,G80=H80,F80&lt;&gt;I80),IF(F80+G80&gt;H80+I80,E80,J80),IF(AND(COUNT(F80:I80)=2,F80&amp;I80="",G80&lt;&gt;H80),IF(G80&gt;H80,E80,J80),"Vencedor OF5")))</f>
        <v>Vencedor OF5</v>
      </c>
      <c r="F92" s="65"/>
      <c r="G92" s="65"/>
      <c r="H92" s="65"/>
      <c r="I92" s="65"/>
      <c r="J92" s="72" t="str">
        <f ca="1">IF((OR(LEFT(E81,2)="1.",LEFT(J81,2)="2.")),"Vencedor OF6",IF(AND(COUNT(F81:I81)=4,G81=H81,F81&lt;&gt;I81),IF(F81+G81&gt;H81+I81,E81,J81),IF(AND(COUNT(F81:I81)=2,F81&amp;I81="",G81&lt;&gt;H81),IF(G81&gt;H81,E81,J81),"Vencedor OF6")))</f>
        <v>Vencedor OF6</v>
      </c>
      <c r="L92" s="52" t="str">
        <f t="shared" ca="1" si="9"/>
        <v/>
      </c>
      <c r="M92" s="53" t="str">
        <f ca="1">IF(LEFT($E94,2)="Vence","-",$E94)</f>
        <v>Vencedor OF7</v>
      </c>
      <c r="N92" s="60"/>
      <c r="O92" s="55">
        <f t="shared" ca="1" si="10"/>
        <v>0</v>
      </c>
      <c r="P92" s="32">
        <f t="shared" ca="1" si="11"/>
        <v>0</v>
      </c>
      <c r="Q92" s="61"/>
      <c r="R92" s="57">
        <f t="shared" ca="1" si="12"/>
        <v>0</v>
      </c>
      <c r="S92" s="58">
        <f t="shared" ca="1" si="13"/>
        <v>0</v>
      </c>
      <c r="T92" s="58">
        <f t="shared" ca="1" si="14"/>
        <v>0</v>
      </c>
      <c r="U92" s="59">
        <f t="shared" ca="1" si="15"/>
        <v>0</v>
      </c>
    </row>
    <row r="93" spans="2:21" ht="15" customHeight="1" x14ac:dyDescent="0.25">
      <c r="B93" s="63">
        <v>44904</v>
      </c>
      <c r="C93" s="18">
        <v>0.54166666666666663</v>
      </c>
      <c r="D93" s="19" t="s">
        <v>71</v>
      </c>
      <c r="E93" s="57" t="str">
        <f ca="1">IF((OR(LEFT(E76,2)="1.",LEFT(J76,2)="2.")),"Vencedor OF1",IF(AND(COUNT(F76:I76)=4,G76=H76,F76&lt;&gt;I76),IF(F76+G76&gt;H76+I76,E76,J76),IF(AND(COUNT(F76:I76)=2,F76&amp;I76="",G76&lt;&gt;H76),IF(G76&gt;H76,E76,J76),"Vencedor OF1")))</f>
        <v>Vencedor OF1</v>
      </c>
      <c r="F93" s="65"/>
      <c r="G93" s="65"/>
      <c r="H93" s="65"/>
      <c r="I93" s="65"/>
      <c r="J93" s="72" t="str">
        <f ca="1">IF((OR(LEFT(E77,2)="1.",LEFT(J77,2)="2.")),"Vencedor OF2",IF(AND(COUNT(F77:I77)=4,G77=H77,F77&lt;&gt;I77),IF(F77+G77&gt;H77+I77,E77,J77),IF(AND(COUNT(F77:I77)=2,F77&amp;I77="",G77&lt;&gt;H77),IF(G77&gt;H77,E77,J77),"Vencedor OF2")))</f>
        <v>Vencedor OF2</v>
      </c>
      <c r="L93" s="52" t="str">
        <f t="shared" ca="1" si="9"/>
        <v/>
      </c>
      <c r="M93" s="53" t="str">
        <f ca="1">IF(LEFT($E95,2)="Vence","-",$E95)</f>
        <v>Vencedor OF3</v>
      </c>
      <c r="N93" s="60"/>
      <c r="O93" s="55">
        <f t="shared" ca="1" si="10"/>
        <v>0</v>
      </c>
      <c r="P93" s="32">
        <f t="shared" ca="1" si="11"/>
        <v>0</v>
      </c>
      <c r="Q93" s="61"/>
      <c r="R93" s="57">
        <f t="shared" ca="1" si="12"/>
        <v>0</v>
      </c>
      <c r="S93" s="58">
        <f t="shared" ca="1" si="13"/>
        <v>0</v>
      </c>
      <c r="T93" s="58">
        <f t="shared" ca="1" si="14"/>
        <v>0</v>
      </c>
      <c r="U93" s="59">
        <f t="shared" ca="1" si="15"/>
        <v>0</v>
      </c>
    </row>
    <row r="94" spans="2:21" x14ac:dyDescent="0.25">
      <c r="B94" s="63">
        <v>44905</v>
      </c>
      <c r="C94" s="18">
        <v>0.375</v>
      </c>
      <c r="D94" s="19" t="s">
        <v>63</v>
      </c>
      <c r="E94" s="57" t="str">
        <f ca="1">IF((OR(LEFT(E82,2)="1.",LEFT(J82,2)="2.")),"Vencedor OF7",IF(AND(COUNT(F82:I82)=4,G82=H82,F82&lt;&gt;I82),IF(F82+G82&gt;H82+I82,E82,J82),IF(AND(COUNT(F82:I82)=2,F82&amp;I82="",G82&lt;&gt;H82),IF(G82&gt;H82,E82,J82),"Vencedor OF7")))</f>
        <v>Vencedor OF7</v>
      </c>
      <c r="F94" s="65"/>
      <c r="G94" s="65"/>
      <c r="H94" s="65"/>
      <c r="I94" s="65"/>
      <c r="J94" s="72" t="str">
        <f ca="1">IF((OR(LEFT(E83,2)="1.",LEFT(J83,2)="2.")),"Vencedor OF8",IF(AND(COUNT(F83:I83)=4,G83=H83,F83&lt;&gt;I83),IF(F83+G83&gt;H83+I83,E83,J83),IF(AND(COUNT(F83:I83)=2,F83&amp;I83="",G83&lt;&gt;H83),IF(G83&gt;H83,E83,J83),"Vencedor OF8")))</f>
        <v>Vencedor OF8</v>
      </c>
      <c r="L94" s="52" t="str">
        <f t="shared" ca="1" si="9"/>
        <v/>
      </c>
      <c r="M94" s="53" t="str">
        <f ca="1">IF(LEFT($J92,2)="Vence","-",$J92)</f>
        <v>Vencedor OF6</v>
      </c>
      <c r="N94" s="60"/>
      <c r="O94" s="55">
        <f t="shared" ca="1" si="10"/>
        <v>0</v>
      </c>
      <c r="P94" s="32">
        <f t="shared" ca="1" si="11"/>
        <v>0</v>
      </c>
      <c r="Q94" s="61"/>
      <c r="R94" s="57">
        <f t="shared" ca="1" si="12"/>
        <v>0</v>
      </c>
      <c r="S94" s="58">
        <f t="shared" ca="1" si="13"/>
        <v>0</v>
      </c>
      <c r="T94" s="58">
        <f t="shared" ca="1" si="14"/>
        <v>0</v>
      </c>
      <c r="U94" s="59">
        <f t="shared" ca="1" si="15"/>
        <v>0</v>
      </c>
    </row>
    <row r="95" spans="2:21" ht="15.75" thickBot="1" x14ac:dyDescent="0.3">
      <c r="B95" s="68">
        <v>44905</v>
      </c>
      <c r="C95" s="40">
        <v>0.54166666666666663</v>
      </c>
      <c r="D95" s="41" t="s">
        <v>64</v>
      </c>
      <c r="E95" s="73" t="str">
        <f ca="1">IF((OR(LEFT(E78,2)="1.",LEFT(J78,2)="2.")),"Vencedor OF3",IF(AND(COUNT(F78:I78)=4,G78=H78,F78&lt;&gt;I78),IF(F78+G78&gt;H78+I78,E78,J78),IF(AND(COUNT(F78:I78)=2,F78&amp;I78="",G78&lt;&gt;H78),IF(G78&gt;H78,E78,J78),"Vencedor OF3")))</f>
        <v>Vencedor OF3</v>
      </c>
      <c r="F95" s="69"/>
      <c r="G95" s="69"/>
      <c r="H95" s="69"/>
      <c r="I95" s="69"/>
      <c r="J95" s="74" t="str">
        <f ca="1">IF((OR(LEFT(E79,2)="1.",LEFT(J79,2)="2.")),"Vencedor OF4",IF(AND(COUNT(F79:I79)=4,G79=H79,F79&lt;&gt;I79),IF(F79+G79&gt;H79+I79,E79,J79),IF(AND(COUNT(F79:I79)=2,F79&amp;I79="",G79&lt;&gt;H79),IF(G79&gt;H79,E79,J79),"Vencedor OF4")))</f>
        <v>Vencedor OF4</v>
      </c>
      <c r="L95" s="52" t="str">
        <f t="shared" ca="1" si="9"/>
        <v/>
      </c>
      <c r="M95" s="53" t="str">
        <f ca="1">IF(LEFT($J93,2)="Vence","-",$J93)</f>
        <v>Vencedor OF2</v>
      </c>
      <c r="N95" s="60"/>
      <c r="O95" s="55">
        <f t="shared" ca="1" si="10"/>
        <v>0</v>
      </c>
      <c r="P95" s="32">
        <f t="shared" ca="1" si="11"/>
        <v>0</v>
      </c>
      <c r="Q95" s="61"/>
      <c r="R95" s="57">
        <f t="shared" ca="1" si="12"/>
        <v>0</v>
      </c>
      <c r="S95" s="58">
        <f t="shared" ca="1" si="13"/>
        <v>0</v>
      </c>
      <c r="T95" s="58">
        <f t="shared" ca="1" si="14"/>
        <v>0</v>
      </c>
      <c r="U95" s="59">
        <f t="shared" ca="1" si="15"/>
        <v>0</v>
      </c>
    </row>
    <row r="96" spans="2:21" ht="15" customHeight="1" x14ac:dyDescent="0.25">
      <c r="B96" s="1"/>
      <c r="C96" s="1"/>
      <c r="E96" s="1"/>
      <c r="F96" s="1"/>
      <c r="G96" s="1"/>
      <c r="H96" s="1"/>
      <c r="I96" s="1"/>
      <c r="J96" s="1"/>
      <c r="L96" s="52" t="str">
        <f t="shared" ca="1" si="9"/>
        <v/>
      </c>
      <c r="M96" s="53" t="str">
        <f ca="1">IF(LEFT($J94,2)="Vence","-",$J94)</f>
        <v>Vencedor OF8</v>
      </c>
      <c r="N96" s="60"/>
      <c r="O96" s="55">
        <f t="shared" ca="1" si="10"/>
        <v>0</v>
      </c>
      <c r="P96" s="32">
        <f t="shared" ca="1" si="11"/>
        <v>0</v>
      </c>
      <c r="Q96" s="61"/>
      <c r="R96" s="57">
        <f t="shared" ca="1" si="12"/>
        <v>0</v>
      </c>
      <c r="S96" s="58">
        <f t="shared" ca="1" si="13"/>
        <v>0</v>
      </c>
      <c r="T96" s="58">
        <f t="shared" ca="1" si="14"/>
        <v>0</v>
      </c>
      <c r="U96" s="59">
        <f t="shared" ca="1" si="15"/>
        <v>0</v>
      </c>
    </row>
    <row r="97" spans="2:21" ht="15" customHeight="1" x14ac:dyDescent="0.25">
      <c r="L97" s="52" t="str">
        <f t="shared" ca="1" si="9"/>
        <v/>
      </c>
      <c r="M97" s="53" t="str">
        <f ca="1">IF(LEFT($J95,2)="Vence","-",$J95)</f>
        <v>Vencedor OF4</v>
      </c>
      <c r="N97" s="70"/>
      <c r="O97" s="55">
        <f t="shared" ca="1" si="10"/>
        <v>0</v>
      </c>
      <c r="P97" s="32">
        <f t="shared" ca="1" si="11"/>
        <v>0</v>
      </c>
      <c r="Q97" s="71"/>
      <c r="R97" s="57">
        <f t="shared" ca="1" si="12"/>
        <v>0</v>
      </c>
      <c r="S97" s="58">
        <f t="shared" ca="1" si="13"/>
        <v>0</v>
      </c>
      <c r="T97" s="58">
        <f t="shared" ca="1" si="14"/>
        <v>0</v>
      </c>
      <c r="U97" s="59">
        <f t="shared" ca="1" si="15"/>
        <v>0</v>
      </c>
    </row>
    <row r="98" spans="2:21" ht="15" customHeight="1" thickBot="1" x14ac:dyDescent="0.3"/>
    <row r="99" spans="2:21" ht="15" customHeight="1" thickBot="1" x14ac:dyDescent="0.3">
      <c r="L99" s="25" t="s">
        <v>41</v>
      </c>
      <c r="M99" s="50" t="s">
        <v>5</v>
      </c>
      <c r="N99" s="50" t="s">
        <v>6</v>
      </c>
      <c r="O99" s="50" t="s">
        <v>7</v>
      </c>
      <c r="P99" s="50" t="s">
        <v>8</v>
      </c>
      <c r="Q99" s="50" t="s">
        <v>9</v>
      </c>
      <c r="R99" s="50" t="s">
        <v>10</v>
      </c>
      <c r="S99" s="50" t="s">
        <v>11</v>
      </c>
      <c r="T99" s="50" t="s">
        <v>12</v>
      </c>
      <c r="U99" s="50" t="s">
        <v>13</v>
      </c>
    </row>
    <row r="100" spans="2:21" ht="15" customHeight="1" x14ac:dyDescent="0.25">
      <c r="B100" s="62" t="s">
        <v>1</v>
      </c>
      <c r="C100" s="15" t="s">
        <v>2</v>
      </c>
      <c r="D100" s="16" t="s">
        <v>3</v>
      </c>
      <c r="E100" s="110" t="s">
        <v>33</v>
      </c>
      <c r="F100" s="111"/>
      <c r="G100" s="111"/>
      <c r="H100" s="111"/>
      <c r="I100" s="111"/>
      <c r="J100" s="112"/>
      <c r="L100" s="75" t="str">
        <f ca="1">IF($O100=0,"",INDEX(L$106:L$112,MATCH($M100,M$106:M$112,0)))</f>
        <v/>
      </c>
      <c r="M100" s="30" t="str">
        <f ca="1">IF(LEFT($E101,2)="Gana","-",$E101)</f>
        <v>Ganador Cuartos 2</v>
      </c>
      <c r="N100" s="54"/>
      <c r="O100" s="32">
        <f ca="1">IF(M100="-",0,IF(COUNTIF($E$112:$J$112,M100),1,IF(COUNTIF($E$101:$E$102,M100)=1,IF(COUNTIF($E$112:$J$112,VLOOKUP(M100,$E$101:$J$102,6,FALSE))=1,1,0),IF(COUNTIF($E$112:$J$112,INDEX($E$101:$E$102,MATCH(M100,$J$101:$J$102,0),1))=1,1,0))))</f>
        <v>0</v>
      </c>
      <c r="P100" s="32">
        <f ca="1">IF($O100=1,IF(COUNTIF($E$101:$E$102,$M100)=1,IF(((VLOOKUP($M100,$E$101:$I$102,2,FALSE)+VLOOKUP($M100,$E$101:$I$102,3,FALSE)))&gt;(VLOOKUP($M100,$E$101:$I$102,4,FALSE)+VLOOKUP($M100,$E$101:$I$102,5,FALSE)),1,0),IF((INDEX($F$101:$F$102,MATCH($M100,$J$101:$J$102,0))+INDEX($G$101:$G$102,MATCH($M100,$J$101:$J$102,0)))&gt;(INDEX($H$101:$H$102,MATCH($M100,$J$101:$J$102,0))+INDEX($I$101:$I$102,MATCH($M100,$J$101:$J$102,0))),0,1)),0)</f>
        <v>0</v>
      </c>
      <c r="Q100" s="56"/>
      <c r="R100" s="57">
        <f ca="1">ABS(O100-P100)</f>
        <v>0</v>
      </c>
      <c r="S100" s="58">
        <f ca="1">IF($O100=1,IF(COUNTIF($E$101:$E$102,$M100)=1,VLOOKUP($M100,$E$101:$H$102,3,FALSE),INDEX($H$101:$H$102,MATCH($M100,$J$101:$J$102,0),1)),0)</f>
        <v>0</v>
      </c>
      <c r="T100" s="58">
        <f ca="1">IF($O100=1,IF(COUNTIF($E$101:$E$102,$M100)=1,VLOOKUP($M100,$E$101:$H$102,4,FALSE),INDEX($G$101:$G$102,MATCH($M100,$J$101:$J$102,0),1)),0)</f>
        <v>0</v>
      </c>
      <c r="U100" s="59">
        <f ca="1">IF($O100=1,IF(COUNTIF($E$101:$E$102,$M100)=1,VLOOKUP($M100,$E101:$I$102,2,FALSE),INDEX($I$101:$I$102,MATCH($M100,$J$101:$J$102,0),1)),0)+S100-T100-IF($O100=1,IF(COUNTIF($E$101:$E$102,$M100)=1,VLOOKUP($M100,$E$101:$I$102,5,FALSE),INDEX($F$101:$F$102,MATCH($M100,$J$101:$J$102,0),1)),0)</f>
        <v>0</v>
      </c>
    </row>
    <row r="101" spans="2:21" ht="15" customHeight="1" x14ac:dyDescent="0.25">
      <c r="B101" s="63">
        <v>44908</v>
      </c>
      <c r="C101" s="18">
        <v>0.54166666666666663</v>
      </c>
      <c r="D101" s="19" t="s">
        <v>66</v>
      </c>
      <c r="E101" s="57" t="str">
        <f ca="1">IF(OR(LEFT(E93,5)="Vence",LEFT(J93,5)="Vence"),"Ganador Cuartos 2",IF(AND(COUNT(F93:I93)=4,G93=H93,F93&lt;&gt;I93),IF(F93+G93&gt;H93+I93,E93,J93),IF(AND(COUNT(F93:I93)=2,F93&amp;I93="",G93&lt;&gt;H93),IF(G93&gt;H93,E93,J93),"Ganador Cuartos 2")))</f>
        <v>Ganador Cuartos 2</v>
      </c>
      <c r="F101" s="65"/>
      <c r="G101" s="65"/>
      <c r="H101" s="65"/>
      <c r="I101" s="65"/>
      <c r="J101" s="72" t="str">
        <f ca="1">IF(OR(LEFT(E92,5)="Vence",LEFT(J92,5)="Vence"),"Ganador Cuartos 1",IF(AND(COUNT(F92:I92)=4,G92=H92,F92&lt;&gt;I92),IF(F92+G92&gt;H92+I92,E92,J92),IF(AND(COUNT(F92:I92)=2,F92&amp;I92="",G92&lt;&gt;H92),IF(G92&gt;H92,E92,J92),"Ganador Cuartos 1")))</f>
        <v>Ganador Cuartos 1</v>
      </c>
      <c r="L101" s="75" t="str">
        <f ca="1">IF($O101=0,"",INDEX(L$106:L$112,MATCH($M101,M$106:M$112,0)))</f>
        <v/>
      </c>
      <c r="M101" s="30" t="str">
        <f ca="1">IF(LEFT($E102,2)="Gana","-",$E102)</f>
        <v>Ganador Cuartos 4</v>
      </c>
      <c r="N101" s="60"/>
      <c r="O101" s="32">
        <f ca="1">IF(M101="-",0,IF(COUNTIF($E$112:$J$112,M101),1,IF(COUNTIF($E$101:$E$102,M101)=1,IF(COUNTIF($E$112:$J$112,VLOOKUP(M101,$E$101:$J$102,6,FALSE))=1,1,0),IF(COUNTIF($E$112:$J$112,INDEX($E$101:$E$102,MATCH(M101,$J$101:$J$102,0),1))=1,1,0))))</f>
        <v>0</v>
      </c>
      <c r="P101" s="32">
        <f ca="1">IF($O101=1,IF(COUNTIF($E$101:$E$102,$M101)=1,IF(((VLOOKUP($M101,$E$101:$I$102,2,FALSE)+VLOOKUP($M101,$E$101:$I$102,3,FALSE)))&gt;(VLOOKUP($M101,$E$101:$I$102,4,FALSE)+VLOOKUP($M101,$E$101:$I$102,5,FALSE)),1,0),IF((INDEX($F$101:$F$102,MATCH($M101,$J$101:$J$102,0))+INDEX($G$101:$G$102,MATCH($M101,$J$101:$J$102,0)))&gt;(INDEX($H$101:$H$102,MATCH($M101,$J$101:$J$102,0))+INDEX($I$101:$I$102,MATCH($M101,$J$101:$J$102,0))),0,1)),0)</f>
        <v>0</v>
      </c>
      <c r="Q101" s="61"/>
      <c r="R101" s="57">
        <f ca="1">ABS(O101-P101)</f>
        <v>0</v>
      </c>
      <c r="S101" s="58">
        <f ca="1">IF($O101=1,IF(COUNTIF($E$101:$E$102,$M101)=1,VLOOKUP($M101,$E$101:$H$102,3,FALSE),INDEX($H$101:$H$102,MATCH($M101,$J$101:$J$102,0),1)),0)</f>
        <v>0</v>
      </c>
      <c r="T101" s="58">
        <f ca="1">IF($O101=1,IF(COUNTIF($E$101:$E$102,$M101)=1,VLOOKUP($M101,$E$101:$H$102,4,FALSE),INDEX($G$101:$G$102,MATCH($M101,$J$101:$J$102,0),1)),0)</f>
        <v>0</v>
      </c>
      <c r="U101" s="59">
        <f ca="1">IF($O101=1,IF(COUNTIF($E$101:$E$102,$M101)=1,VLOOKUP($M101,$E102:$I$102,2,FALSE),INDEX($I$101:$I$102,MATCH($M101,$J$101:$J$102,0),1)),0)+S101-T101-IF($O101=1,IF(COUNTIF($E$101:$E$102,$M101)=1,VLOOKUP($M101,$E$101:$I$102,5,FALSE),INDEX($F$101:$F$102,MATCH($M101,$J$101:$J$102,0),1)),0)</f>
        <v>0</v>
      </c>
    </row>
    <row r="102" spans="2:21" ht="15" customHeight="1" thickBot="1" x14ac:dyDescent="0.3">
      <c r="B102" s="68">
        <v>44909</v>
      </c>
      <c r="C102" s="40">
        <v>0.54166666666666663</v>
      </c>
      <c r="D102" s="41" t="s">
        <v>64</v>
      </c>
      <c r="E102" s="73" t="str">
        <f ca="1">IF(OR(LEFT(E95,5)="Vence",LEFT(J95,5)="Vence"),"Ganador Cuartos 4",IF(AND(COUNT(F95:I95)=4,G95=H95,F95&lt;&gt;I95),IF(F95+G95&gt;H95+I95,E95,J95),IF(AND(COUNT(F95:I95)=2,F95&amp;I95="",G95&lt;&gt;H95),IF(G95&gt;H95,E95,J95),"Ganador Cuartos 4")))</f>
        <v>Ganador Cuartos 4</v>
      </c>
      <c r="F102" s="69"/>
      <c r="G102" s="69"/>
      <c r="H102" s="69"/>
      <c r="I102" s="69"/>
      <c r="J102" s="74" t="str">
        <f ca="1">IF(OR(LEFT(E94,5)="Vence",LEFT(J94,5)="Vence"),"Ganador Cuartos 3",IF(AND(COUNT(F94:I94)=4,G94=H94,F94&lt;&gt;I94),IF(F94+G94&gt;H94+I94,E94,J94),IF(AND(COUNT(F94:I94)=2,F94&amp;I94="",G94&lt;&gt;H94),IF(G94&gt;H94,E94,J94),"Ganador Cuartos 3")))</f>
        <v>Ganador Cuartos 3</v>
      </c>
      <c r="L102" s="75" t="str">
        <f ca="1">IF($O102=0,"",INDEX(L$106:L$112,MATCH($M102,M$106:M$112,0)))</f>
        <v/>
      </c>
      <c r="M102" s="30" t="str">
        <f ca="1">IF(LEFT($J101,2)="Gana","-",$J101)</f>
        <v>Ganador Cuartos 1</v>
      </c>
      <c r="N102" s="60"/>
      <c r="O102" s="32">
        <f ca="1">IF(M102="-",0,IF(COUNTIF($E$112:$J$112,M102),1,IF(COUNTIF($E$101:$E$102,M102)=1,IF(COUNTIF($E$112:$J$112,VLOOKUP(M102,$E$101:$J$102,6,FALSE))=1,1,0),IF(COUNTIF($E$112:$J$112,INDEX($E$101:$E$102,MATCH(M102,$J$101:$J$102,0),1))=1,1,0))))</f>
        <v>0</v>
      </c>
      <c r="P102" s="32">
        <f ca="1">IF($O102=1,IF(COUNTIF($E$101:$E$102,$M102)=1,IF(((VLOOKUP($M102,$E$101:$I$102,2,FALSE)+VLOOKUP($M102,$E$101:$I$102,3,FALSE)))&gt;(VLOOKUP($M102,$E$101:$I$102,4,FALSE)+VLOOKUP($M102,$E$101:$I$102,5,FALSE)),1,0),IF((INDEX($F$101:$F$102,MATCH($M102,$J$101:$J$102,0))+INDEX($G$101:$G$102,MATCH($M102,$J$101:$J$102,0)))&gt;(INDEX($H$101:$H$102,MATCH($M102,$J$101:$J$102,0))+INDEX($I$101:$I$102,MATCH($M102,$J$101:$J$102,0))),0,1)),0)</f>
        <v>0</v>
      </c>
      <c r="Q102" s="61"/>
      <c r="R102" s="57">
        <f ca="1">ABS(O102-P102)</f>
        <v>0</v>
      </c>
      <c r="S102" s="58">
        <f ca="1">IF($O102=1,IF(COUNTIF($E$101:$E$102,$M102)=1,VLOOKUP($M102,$E$101:$H$102,3,FALSE),INDEX($H$101:$H$102,MATCH($M102,$J$101:$J$102,0),1)),0)</f>
        <v>0</v>
      </c>
      <c r="T102" s="58">
        <f ca="1">IF($O102=1,IF(COUNTIF($E$101:$E$102,$M102)=1,VLOOKUP($M102,$E$101:$H$102,4,FALSE),INDEX($G$101:$G$102,MATCH($M102,$J$101:$J$102,0),1)),0)</f>
        <v>0</v>
      </c>
      <c r="U102" s="59">
        <f ca="1">IF($O102=1,IF(COUNTIF($E$101:$E$102,$M102)=1,VLOOKUP($M102,$E$102:$I103,2,FALSE),INDEX($I$101:$I$102,MATCH($M102,$J$101:$J$102,0),1)),0)+S102-T102-IF($O102=1,IF(COUNTIF($E$101:$E$102,$M102)=1,VLOOKUP($M102,$E$101:$I$102,5,FALSE),INDEX($F$101:$F$102,MATCH($M102,$J$101:$J$102,0),1)),0)</f>
        <v>0</v>
      </c>
    </row>
    <row r="103" spans="2:21" ht="15" customHeight="1" x14ac:dyDescent="0.25">
      <c r="L103" s="75" t="str">
        <f ca="1">IF($O103=0,"",INDEX(L$106:L$112,MATCH($M103,M$106:M$112,0)))</f>
        <v/>
      </c>
      <c r="M103" s="30" t="str">
        <f ca="1">IF(LEFT($J102,2)="Gana","-",$J102)</f>
        <v>Ganador Cuartos 3</v>
      </c>
      <c r="N103" s="70"/>
      <c r="O103" s="32">
        <f ca="1">IF(M103="-",0,IF(COUNTIF($E$112:$J$112,M103),1,IF(COUNTIF($E$101:$E$102,M103)=1,IF(COUNTIF($E$112:$J$112,VLOOKUP(M103,$E$101:$J$102,6,FALSE))=1,1,0),IF(COUNTIF($E$112:$J$112,INDEX($E$101:$E$102,MATCH(M103,$J$101:$J$102,0),1))=1,1,0))))</f>
        <v>0</v>
      </c>
      <c r="P103" s="32">
        <f ca="1">IF($O103=1,IF(COUNTIF($E$101:$E$102,$M103)=1,IF(((VLOOKUP($M103,$E$101:$I$102,2,FALSE)+VLOOKUP($M103,$E$101:$I$102,3,FALSE)))&gt;(VLOOKUP($M103,$E$101:$I$102,4,FALSE)+VLOOKUP($M103,$E$101:$I$102,5,FALSE)),1,0),IF((INDEX($F$101:$F$102,MATCH($M103,$J$101:$J$102,0))+INDEX($G$101:$G$102,MATCH($M103,$J$101:$J$102,0)))&gt;(INDEX($H$101:$H$102,MATCH($M103,$J$101:$J$102,0))+INDEX($I$101:$I$102,MATCH($M103,$J$101:$J$102,0))),0,1)),0)</f>
        <v>0</v>
      </c>
      <c r="Q103" s="71"/>
      <c r="R103" s="57">
        <f ca="1">ABS(O103-P103)</f>
        <v>0</v>
      </c>
      <c r="S103" s="58">
        <f ca="1">IF($O103=1,IF(COUNTIF($E$101:$E$102,$M103)=1,VLOOKUP($M103,$E$101:$H$102,3,FALSE),INDEX($H$101:$H$102,MATCH($M103,$J$101:$J$102,0),1)),0)</f>
        <v>0</v>
      </c>
      <c r="T103" s="58">
        <f ca="1">IF($O103=1,IF(COUNTIF($E$101:$E$102,$M103)=1,VLOOKUP($M103,$E$101:$H$102,4,FALSE),INDEX($G$101:$G$102,MATCH($M103,$J$101:$J$102,0),1)),0)</f>
        <v>0</v>
      </c>
      <c r="U103" s="59">
        <f ca="1">IF($O103=1,IF(COUNTIF($E$101:$E$102,$M103)=1,VLOOKUP($M103,$E$102:$I103,2,FALSE),INDEX($I$101:$I$102,MATCH($M103,$J$101:$J$102,0),1)),0)+S103-T103-IF($O103=1,IF(COUNTIF($E$101:$E$102,$M103)=1,VLOOKUP($M103,$E$101:$I$102,5,FALSE),INDEX($F$101:$F$102,MATCH($M103,$J$101:$J$102,0),1)),0)</f>
        <v>0</v>
      </c>
    </row>
    <row r="104" spans="2:21" ht="15" customHeight="1" thickBot="1" x14ac:dyDescent="0.3"/>
    <row r="105" spans="2:21" ht="15" customHeight="1" thickBot="1" x14ac:dyDescent="0.3">
      <c r="L105" s="25" t="s">
        <v>41</v>
      </c>
      <c r="M105" s="50" t="s">
        <v>5</v>
      </c>
      <c r="N105" s="50" t="s">
        <v>6</v>
      </c>
      <c r="O105" s="50" t="s">
        <v>7</v>
      </c>
      <c r="P105" s="50" t="s">
        <v>8</v>
      </c>
      <c r="Q105" s="50" t="s">
        <v>9</v>
      </c>
      <c r="R105" s="50" t="s">
        <v>10</v>
      </c>
      <c r="S105" s="50" t="s">
        <v>11</v>
      </c>
      <c r="T105" s="50" t="s">
        <v>12</v>
      </c>
      <c r="U105" s="50" t="s">
        <v>13</v>
      </c>
    </row>
    <row r="106" spans="2:21" ht="15" customHeight="1" x14ac:dyDescent="0.25">
      <c r="B106" s="62" t="s">
        <v>1</v>
      </c>
      <c r="C106" s="15" t="s">
        <v>2</v>
      </c>
      <c r="D106" s="16" t="s">
        <v>3</v>
      </c>
      <c r="E106" s="110" t="s">
        <v>34</v>
      </c>
      <c r="F106" s="111"/>
      <c r="G106" s="111"/>
      <c r="H106" s="111"/>
      <c r="I106" s="111"/>
      <c r="J106" s="112"/>
      <c r="L106" s="52" t="str">
        <f ca="1">IF(SUM(P$106:P$107)=1,IF(P106=1,3,4),"")</f>
        <v/>
      </c>
      <c r="M106" s="30" t="str">
        <f ca="1">IF(LEFT($E$107,2)="Perd","-",$E$107)</f>
        <v>Perdedor 1ª Semifinal</v>
      </c>
      <c r="N106" s="54"/>
      <c r="O106" s="32">
        <f ca="1">IF(OR((IF(OR(LEFT(E107,5)="Perde",LEFT(J107,5)="Perde"),0,IF(AND(COUNT(F107:I107)=4,G107=H107,F107&lt;&gt;I107),IF(F107+G107&gt;H107+I107,1,0),IF(AND(COUNT(F107:I107)=2,F107&amp;I107="",G107&lt;&gt;H107),IF(G107&gt;H107,1,0),0)))),(IF(OR(LEFT(E107,5)="Perde",LEFT(J107,5)="Perde"),0,IF(AND(COUNT(F107:I107)=4,G107=H107,F107&lt;&gt;I107),IF(F107+G107&lt;H107+I107,1,0),IF(AND(COUNT(F107:I107)=2,F107&amp;I107="",G107&lt;&gt;H107),IF(G107&lt;H107,1,0),0))))),1,0)</f>
        <v>0</v>
      </c>
      <c r="P106" s="32">
        <f ca="1">(IF(OR(LEFT(E107,5)="Perde",LEFT(J107,5)="Perde"),0,IF(AND(COUNT(F107:I107)=4,G107=H107,F107&lt;&gt;I107),IF(F107+G107&gt;H107+I107,1,0),IF(AND(COUNT(F107:I107)=2,F107&amp;I107="",G107&lt;&gt;H107),IF(G107&gt;H107,1,0),0))))</f>
        <v>0</v>
      </c>
      <c r="Q106" s="56"/>
      <c r="R106" s="57">
        <f ca="1">ABS(O106-P106)</f>
        <v>0</v>
      </c>
      <c r="S106" s="58">
        <f ca="1">IF($O106=1,IF($M106=$E$107,$G$107,$H$107),0)</f>
        <v>0</v>
      </c>
      <c r="T106" s="58">
        <f ca="1">IF($O106=1,IF($M106=$E$107,$H$107,$G$107),0)</f>
        <v>0</v>
      </c>
      <c r="U106" s="59">
        <f ca="1">IF($O106=1,IF($M106=$E$107,$F$107+$G$107-$H$107-$I$107,$H$107+$I$107-$F$107-$G$107),0)</f>
        <v>0</v>
      </c>
    </row>
    <row r="107" spans="2:21" ht="15" customHeight="1" thickBot="1" x14ac:dyDescent="0.3">
      <c r="B107" s="76">
        <v>44912</v>
      </c>
      <c r="C107" s="77">
        <v>0.375</v>
      </c>
      <c r="D107" s="78" t="s">
        <v>69</v>
      </c>
      <c r="E107" s="79" t="str">
        <f ca="1">IF(OR(LEFT(E101,5)="gana",LEFT(J101,5)="gana"),"Perdedor 1ª Semifinal",IF(AND(COUNT(F101:I101)=4,G101=H101,F101&lt;&gt;I101),IF(F101+G101&gt;H101+I101,J101,E101),IF(AND(COUNT(F101:I101)=2,F101&amp;I101="",G101&lt;&gt;H101),IF(G101&gt;H101,J101,E101),"Perdedor 1ª Semifinal")))</f>
        <v>Perdedor 1ª Semifinal</v>
      </c>
      <c r="F107" s="80"/>
      <c r="G107" s="80"/>
      <c r="H107" s="80"/>
      <c r="I107" s="80"/>
      <c r="J107" s="81" t="str">
        <f ca="1">IF(OR(LEFT(E102,5)="gana",LEFT(J102,5)="gana"),"Perdedor 2ª Semifinal",IF(AND(COUNT(F102:I102)=4,G102=H102,F102&lt;&gt;I102),IF(F102+G102&lt;H102+I102,E102,J102),IF(AND(COUNT(F102:I102)=2,F102&amp;I102="",G102&lt;&gt;H102),IF(G102&lt;H102,E102,J102),"Perdedor 2ª Semifinal")))</f>
        <v>Perdedor 2ª Semifinal</v>
      </c>
      <c r="L107" s="52" t="str">
        <f ca="1">IF(SUM(P$106:P$107)=1,IF(P107=1,3,4),"")</f>
        <v/>
      </c>
      <c r="M107" s="30" t="str">
        <f ca="1">IF(LEFT($J$107,2)="Perd","-",$J$107)</f>
        <v>Perdedor 2ª Semifinal</v>
      </c>
      <c r="N107" s="70"/>
      <c r="O107" s="32">
        <f ca="1">O106</f>
        <v>0</v>
      </c>
      <c r="P107" s="32">
        <f ca="1">IF(O107=1,IF(P106=1,0,1),0)</f>
        <v>0</v>
      </c>
      <c r="Q107" s="71"/>
      <c r="R107" s="57">
        <f ca="1">ABS(O107-P107)</f>
        <v>0</v>
      </c>
      <c r="S107" s="58">
        <f ca="1">IF($O107=1,IF($M107=$E$107,$G$107,$H$107),0)</f>
        <v>0</v>
      </c>
      <c r="T107" s="58">
        <f ca="1">IF($O107=1,IF($M107=$E$107,$H$107,$G$107),0)</f>
        <v>0</v>
      </c>
      <c r="U107" s="59">
        <f ca="1">IF($O107=1,IF($M107=$E$107,$F$107+$G$107-$H$107-$I$107,$H$107+$I$107-$F$107-$G$107),0)</f>
        <v>0</v>
      </c>
    </row>
    <row r="108" spans="2:21" ht="15" customHeight="1" x14ac:dyDescent="0.25">
      <c r="B108" s="1"/>
      <c r="C108" s="1"/>
      <c r="E108" s="1"/>
      <c r="J108" s="1"/>
    </row>
    <row r="109" spans="2:21" ht="15" customHeight="1" thickBot="1" x14ac:dyDescent="0.3"/>
    <row r="110" spans="2:21" ht="15" customHeight="1" thickBot="1" x14ac:dyDescent="0.3">
      <c r="L110" s="25" t="s">
        <v>41</v>
      </c>
      <c r="M110" s="50" t="s">
        <v>5</v>
      </c>
      <c r="N110" s="50" t="s">
        <v>6</v>
      </c>
      <c r="O110" s="50" t="s">
        <v>7</v>
      </c>
      <c r="P110" s="50" t="s">
        <v>8</v>
      </c>
      <c r="Q110" s="50" t="s">
        <v>9</v>
      </c>
      <c r="R110" s="50" t="s">
        <v>10</v>
      </c>
      <c r="S110" s="50" t="s">
        <v>11</v>
      </c>
      <c r="T110" s="50" t="s">
        <v>12</v>
      </c>
      <c r="U110" s="50" t="s">
        <v>13</v>
      </c>
    </row>
    <row r="111" spans="2:21" ht="15" customHeight="1" x14ac:dyDescent="0.25">
      <c r="B111" s="62" t="s">
        <v>1</v>
      </c>
      <c r="C111" s="15" t="s">
        <v>2</v>
      </c>
      <c r="D111" s="16" t="s">
        <v>3</v>
      </c>
      <c r="E111" s="110" t="s">
        <v>35</v>
      </c>
      <c r="F111" s="111"/>
      <c r="G111" s="111"/>
      <c r="H111" s="111"/>
      <c r="I111" s="111"/>
      <c r="J111" s="112"/>
      <c r="L111" s="52" t="str">
        <f ca="1">IF(SUM(P$111:P$112)=1,IF(P111=1,1,2),"")</f>
        <v/>
      </c>
      <c r="M111" s="30" t="str">
        <f ca="1">IF(LEFT($E$112,2)="Gana","-",$E$112)</f>
        <v>Ganador 1ª Semifinal</v>
      </c>
      <c r="N111" s="54"/>
      <c r="O111" s="32">
        <f ca="1">IF(OR((IF(OR(LEFT(E112,5)="Ganad",LEFT(J112,5)="Ganad"),0,IF(AND(COUNT(F112:I112)=4,G112=H112,F112&lt;&gt;I112),IF(F112+G112&gt;H112+I112,1,0),IF(AND(COUNT(F112:I112)=2,F112&amp;I112="",G112&lt;&gt;H112),IF(G112&gt;H112,1,0),0)))),(IF(OR(LEFT(E112,5)="Ganad",LEFT(J112,5)="Ganad"),0,IF(AND(COUNT(F112:I112)=4,G112=H112,F112&lt;&gt;I112),IF(F112+G112&lt;H112+I112,1,0),IF(AND(COUNT(F112:I112)=2,F112&amp;I112="",G112&lt;&gt;H112),IF(G112&lt;H112,1,0),0))))),1,0)</f>
        <v>0</v>
      </c>
      <c r="P111" s="32">
        <f ca="1">(IF(OR(LEFT(E112,5)="Ganad",LEFT(J112,5)="Ganad"),0,IF(AND(COUNT(F112:I112)=4,G112=H112,F112&lt;&gt;I112),IF(F112+G112&gt;H112+I112,1,0),IF(AND(COUNT(F112:I112)=2,F112&amp;I112="",G112&lt;&gt;H112),IF(G112&gt;H112,1,0),0))))</f>
        <v>0</v>
      </c>
      <c r="Q111" s="56"/>
      <c r="R111" s="57">
        <f ca="1">ABS(O111-P111)</f>
        <v>0</v>
      </c>
      <c r="S111" s="58">
        <f ca="1">IF($O111=1,IF($M111=$E$112,$G$112,$H$112),0)</f>
        <v>0</v>
      </c>
      <c r="T111" s="58">
        <f ca="1">IF($O111=1,IF($M111=$E$112,$H$112,$G$112),0)</f>
        <v>0</v>
      </c>
      <c r="U111" s="59">
        <f ca="1">IF($O111=1,IF($M111=$E$112,$F$112+$G$112-$H$112-$I$112,$H$112+$I$112-$F$112-$G$112),0)</f>
        <v>0</v>
      </c>
    </row>
    <row r="112" spans="2:21" ht="15" customHeight="1" thickBot="1" x14ac:dyDescent="0.3">
      <c r="B112" s="76">
        <v>44913</v>
      </c>
      <c r="C112" s="77">
        <v>0.375</v>
      </c>
      <c r="D112" s="78" t="s">
        <v>71</v>
      </c>
      <c r="E112" s="79" t="str">
        <f ca="1">IF(OR(LEFT(E101,5)="gana",LEFT(J101,5)="gana"),"Ganador 1ª Semifinal",IF(AND(COUNT(F101:I101)=4,G101=H101,F101&lt;&gt;I101),IF(F101+G101&lt;H101+I101,J101,E101),IF(AND(COUNT(F101:I101)=2,F101&amp;I101="",G101&lt;&gt;H101),IF(G101&lt;H101,J101,E101),"Ganador 1ª Semifinal")))</f>
        <v>Ganador 1ª Semifinal</v>
      </c>
      <c r="F112" s="80"/>
      <c r="G112" s="80"/>
      <c r="H112" s="80"/>
      <c r="I112" s="80"/>
      <c r="J112" s="81" t="str">
        <f ca="1">IF(OR(LEFT(E102,5)="gana",LEFT(J102,5)="gana"),"Ganador 2ª Semifinal",IF(AND(COUNT(F102:I102)=4,G102=H102,F102&lt;&gt;I102),IF(F102+G102&gt;H102+I102,E102,J102),IF(AND(COUNT(F102:I102)=2,F102&amp;I102="",G102&lt;&gt;H102),IF(G102&gt;H102,E102,J102),"Ganador 2ª Semifinal")))</f>
        <v>Ganador 2ª Semifinal</v>
      </c>
      <c r="L112" s="52" t="str">
        <f ca="1">IF(SUM(P$111:P$112)=1,IF(P112=1,1,2),"")</f>
        <v/>
      </c>
      <c r="M112" s="30" t="str">
        <f ca="1">IF(LEFT($J$112,2)="Gana","-",$J$112)</f>
        <v>Ganador 2ª Semifinal</v>
      </c>
      <c r="N112" s="70"/>
      <c r="O112" s="32">
        <f ca="1">O111</f>
        <v>0</v>
      </c>
      <c r="P112" s="32">
        <f ca="1">IF(O112=1,IF(P111=1,0,1),0)</f>
        <v>0</v>
      </c>
      <c r="Q112" s="71"/>
      <c r="R112" s="57">
        <f ca="1">ABS(O112-P112)</f>
        <v>0</v>
      </c>
      <c r="S112" s="58">
        <f ca="1">IF($O112=1,IF($M112=$E$112,$G$112,$H$112),0)</f>
        <v>0</v>
      </c>
      <c r="T112" s="58">
        <f ca="1">IF($O112=1,IF($M112=$E$112,$H$112,$G$112),0)</f>
        <v>0</v>
      </c>
      <c r="U112" s="59">
        <f ca="1">IF($O112=1,IF($M112=$E$112,$F$112+$G$112-$H$112-$I$112,$H$112+$I$112-$F$112-$G$112),0)</f>
        <v>0</v>
      </c>
    </row>
    <row r="113" spans="2:10" ht="15" customHeight="1" x14ac:dyDescent="0.25"/>
    <row r="114" spans="2:10" ht="15" customHeight="1" x14ac:dyDescent="0.25">
      <c r="E114" s="1"/>
      <c r="F114" s="1"/>
      <c r="G114" s="1"/>
      <c r="H114" s="1"/>
      <c r="I114" s="1"/>
      <c r="J114" s="1"/>
    </row>
    <row r="115" spans="2:10" ht="15" customHeight="1" thickBot="1" x14ac:dyDescent="0.3">
      <c r="E115" s="1"/>
      <c r="F115" s="1"/>
      <c r="G115" s="1"/>
      <c r="H115" s="1"/>
      <c r="I115" s="1"/>
      <c r="J115" s="1"/>
    </row>
    <row r="116" spans="2:10" ht="15" customHeight="1" x14ac:dyDescent="0.25">
      <c r="B116" s="113" t="str">
        <f ca="1">IF(OR(LEFT(E112,5)="ganad",LEFT(J112,5)="ganad"),"https://formulasexcel.com",IF(AND(COUNT(F112:I112)=4,G112=H112,F112&lt;&gt;I112),IF(F112+G112&lt;H112+I112,J112,E112),IF(AND(COUNT(F112:I112)=2,F112&amp;I112="",G112&lt;&gt;H112),IF(G112&lt;H112,J112,E112),"https://formulasexcel.com")))</f>
        <v>https://formulasexcel.com</v>
      </c>
      <c r="C116" s="114"/>
      <c r="D116" s="114"/>
      <c r="E116" s="114"/>
      <c r="F116" s="114"/>
      <c r="G116" s="115"/>
    </row>
    <row r="117" spans="2:10" ht="15" customHeight="1" thickBot="1" x14ac:dyDescent="0.3">
      <c r="B117" s="116"/>
      <c r="C117" s="117"/>
      <c r="D117" s="117"/>
      <c r="E117" s="117"/>
      <c r="F117" s="117"/>
      <c r="G117" s="118"/>
    </row>
  </sheetData>
  <sheetProtection algorithmName="SHA-512" hashValue="xD7ZQegdoGFMHtY1y/5OPezV4jZoMA1ChObMXH389vfo09LsIC8bE/g4puZBtSiZ7pO9MGzK2lFiidQf+O5Ddg==" saltValue="boPl+hFNaul4XoxQM6gfeA==" spinCount="100000" sheet="1" objects="1" scenarios="1"/>
  <mergeCells count="14">
    <mergeCell ref="E47:J47"/>
    <mergeCell ref="E7:J7"/>
    <mergeCell ref="E15:J15"/>
    <mergeCell ref="E23:J23"/>
    <mergeCell ref="E31:J31"/>
    <mergeCell ref="E39:J39"/>
    <mergeCell ref="E111:J111"/>
    <mergeCell ref="B116:G117"/>
    <mergeCell ref="E55:J55"/>
    <mergeCell ref="E63:J63"/>
    <mergeCell ref="E75:J75"/>
    <mergeCell ref="E91:J91"/>
    <mergeCell ref="E100:J100"/>
    <mergeCell ref="E106:J106"/>
  </mergeCells>
  <conditionalFormatting sqref="G112:H112 G107:H107 G101:H102 G92:H95 G16:H21 G24:H29 G32:H37 G40:H45 G48:H53 G56:H61 G64:H69 G76:H83 G8:H13">
    <cfRule type="expression" dxfId="32" priority="8" stopIfTrue="1">
      <formula>G8=""</formula>
    </cfRule>
  </conditionalFormatting>
  <conditionalFormatting sqref="F107 F92:F95 F101:F102 F112 F76:F83">
    <cfRule type="expression" dxfId="31" priority="9" stopIfTrue="1">
      <formula>IF(COUNT($G76:$H76)&lt;=1,IF($F76&lt;&gt;"",1=1,1=2),IF(AND($F76&lt;&gt;"",$F76=$I76),1=1,IF(AND($F76&lt;&gt;"",$G76&lt;&gt;$H76),1=1,IF(AND($F76="",$G76=$H76),1=1,1=2))))</formula>
    </cfRule>
  </conditionalFormatting>
  <conditionalFormatting sqref="I107 I92:I95 I101:I102 I112 I76:I83">
    <cfRule type="expression" dxfId="30" priority="10" stopIfTrue="1">
      <formula>IF(COUNT($G76:$H76)&lt;=1,IF($I76&lt;&gt;"",1=1,1=2),IF(AND($I76&lt;&gt;"",$F76=$I76),1=1,IF(AND($I76&lt;&gt;"",$G76&lt;&gt;$H76),1=1,IF(AND($I76="",$G76=$H76),1=1,1=2))))</formula>
    </cfRule>
  </conditionalFormatting>
  <conditionalFormatting sqref="J112">
    <cfRule type="expression" dxfId="29" priority="7" stopIfTrue="1">
      <formula>IF(OR(LEFT(E112,5)="ganad",LEFT(J112,5)="ganad"),1=2,IF(AND(COUNT(F112:I112)=4,G112=H112,F112&lt;&gt;I112),IF(F112+G112&lt;H112+I112,1=1,1=2),IF(AND(COUNT(F112:I112)=2,F112&amp;I112="",G112&lt;&gt;H112),IF(G112&lt;H112,1=1,1=2),1=2)))</formula>
    </cfRule>
  </conditionalFormatting>
  <conditionalFormatting sqref="E112">
    <cfRule type="expression" dxfId="28" priority="6" stopIfTrue="1">
      <formula>IF(OR(LEFT(E112,5)="ganad",LEFT(J112,5)="ganad"),1=2,IF(AND(COUNT(F112:I112)=4,G112=H112,F112&lt;&gt;I112),IF(F112+G112&gt;H112+I112,1=1,1=2),IF(AND(COUNT(F112:I112)=2,F112&amp;I112="",G112&lt;&gt;H112),IF(G112&gt;H112,1=1,1=2),1=2)))</formula>
    </cfRule>
  </conditionalFormatting>
  <conditionalFormatting sqref="E107">
    <cfRule type="expression" dxfId="27" priority="5" stopIfTrue="1">
      <formula>IF(OR(LEFT(E107,5)="Perde",LEFT(J107,5)="Perde"),1=2,IF(AND(COUNT(F107:I107)=4,G107=H107,F107&lt;&gt;I107),IF(F107+G107&gt;H107+I107,1=1,1=2),IF(AND(COUNT(F107:I107)=2,F107&amp;I107="",G107&lt;&gt;H107),IF(G107&gt;H107,1=1,1=2),1=2)))</formula>
    </cfRule>
  </conditionalFormatting>
  <conditionalFormatting sqref="J107">
    <cfRule type="expression" dxfId="26" priority="4" stopIfTrue="1">
      <formula>IF(OR(LEFT(E107,5)="Perde",LEFT(J107,5)="Perde"),1=2,IF(AND(COUNT(F107:I107)=4,G107=H107,F107&lt;&gt;I107),IF(F107+G107&lt;H107+I107,1=1,1=2),IF(AND(COUNT(F107:I107)=2,F107&amp;I107="",G107&lt;&gt;H107),IF(G107&lt;H107,1=1,1=2),1=2)))</formula>
    </cfRule>
  </conditionalFormatting>
  <conditionalFormatting sqref="B116">
    <cfRule type="expression" dxfId="25" priority="3" stopIfTrue="1">
      <formula>$B$116="www.formulasexcel.com"</formula>
    </cfRule>
  </conditionalFormatting>
  <conditionalFormatting sqref="L9:M12 L33:M36 L41:M44 L57:M60 L65:M68 L17:M20 L49:M52 L25:M28">
    <cfRule type="expression" dxfId="24" priority="11" stopIfTrue="1">
      <formula>COUNTIF($E$76:$J$83,$M9)=1</formula>
    </cfRule>
  </conditionalFormatting>
  <conditionalFormatting sqref="M106:M107">
    <cfRule type="expression" dxfId="23" priority="2" stopIfTrue="1">
      <formula>$P106=1</formula>
    </cfRule>
  </conditionalFormatting>
  <conditionalFormatting sqref="M111:M112">
    <cfRule type="expression" dxfId="22" priority="1" stopIfTrue="1">
      <formula>$P111=1</formula>
    </cfRule>
  </conditionalFormatting>
  <conditionalFormatting sqref="E76:E83 J76:J83">
    <cfRule type="expression" dxfId="21" priority="12" stopIfTrue="1">
      <formula>COUNTIF($E$92:$J$95,E76)=1</formula>
    </cfRule>
  </conditionalFormatting>
  <conditionalFormatting sqref="L72:M87">
    <cfRule type="expression" dxfId="20" priority="13" stopIfTrue="1">
      <formula>COUNTIF($E$92:$J$95,$M72)=1</formula>
    </cfRule>
  </conditionalFormatting>
  <conditionalFormatting sqref="E92:E95 J92:J95">
    <cfRule type="expression" dxfId="19" priority="14" stopIfTrue="1">
      <formula>COUNTIF($E$101:$J$102,E92)=1</formula>
    </cfRule>
  </conditionalFormatting>
  <conditionalFormatting sqref="L90:M97">
    <cfRule type="expression" dxfId="18" priority="15" stopIfTrue="1">
      <formula>COUNTIF($E$101:$J$102,$M90)=1</formula>
    </cfRule>
  </conditionalFormatting>
  <conditionalFormatting sqref="M100:M103">
    <cfRule type="expression" dxfId="17" priority="16" stopIfTrue="1">
      <formula>COUNTIF($E$112:$J$112,$M100)=1</formula>
    </cfRule>
  </conditionalFormatting>
  <conditionalFormatting sqref="E101:E102 J101:J102">
    <cfRule type="expression" dxfId="16" priority="17" stopIfTrue="1">
      <formula>COUNTIF($E$112:$J$112,E101)=1</formula>
    </cfRule>
  </conditionalFormatting>
  <hyperlinks>
    <hyperlink ref="D5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ódulo1.SimularCampeon">
                <anchor moveWithCells="1" sizeWithCells="1">
                  <from>
                    <xdr:col>12</xdr:col>
                    <xdr:colOff>1190625</xdr:colOff>
                    <xdr:row>1</xdr:row>
                    <xdr:rowOff>47625</xdr:rowOff>
                  </from>
                  <to>
                    <xdr:col>21</xdr:col>
                    <xdr:colOff>123825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ResetGoles" altText="Reset">
                <anchor moveWithCells="1" sizeWithCells="1">
                  <from>
                    <xdr:col>21</xdr:col>
                    <xdr:colOff>247650</xdr:colOff>
                    <xdr:row>1</xdr:row>
                    <xdr:rowOff>19050</xdr:rowOff>
                  </from>
                  <to>
                    <xdr:col>22</xdr:col>
                    <xdr:colOff>581025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DropDown="1" showInputMessage="1" showErrorMessage="1" xr:uid="{00000000-0002-0000-0000-000000000000}">
          <x14:formula1>
            <xm:f>"""STOP"""</xm:f>
          </x14:formula1>
          <xm:sqref>F8:F13 JB8:JB13 SX8:SX13 ACT8:ACT13 AMP8:AMP13 AWL8:AWL13 BGH8:BGH13 BQD8:BQD13 BZZ8:BZZ13 CJV8:CJV13 CTR8:CTR13 DDN8:DDN13 DNJ8:DNJ13 DXF8:DXF13 EHB8:EHB13 EQX8:EQX13 FAT8:FAT13 FKP8:FKP13 FUL8:FUL13 GEH8:GEH13 GOD8:GOD13 GXZ8:GXZ13 HHV8:HHV13 HRR8:HRR13 IBN8:IBN13 ILJ8:ILJ13 IVF8:IVF13 JFB8:JFB13 JOX8:JOX13 JYT8:JYT13 KIP8:KIP13 KSL8:KSL13 LCH8:LCH13 LMD8:LMD13 LVZ8:LVZ13 MFV8:MFV13 MPR8:MPR13 MZN8:MZN13 NJJ8:NJJ13 NTF8:NTF13 ODB8:ODB13 OMX8:OMX13 OWT8:OWT13 PGP8:PGP13 PQL8:PQL13 QAH8:QAH13 QKD8:QKD13 QTZ8:QTZ13 RDV8:RDV13 RNR8:RNR13 RXN8:RXN13 SHJ8:SHJ13 SRF8:SRF13 TBB8:TBB13 TKX8:TKX13 TUT8:TUT13 UEP8:UEP13 UOL8:UOL13 UYH8:UYH13 VID8:VID13 VRZ8:VRZ13 WBV8:WBV13 WLR8:WLR13 WVN8:WVN13 F65544:F65549 JB65544:JB65549 SX65544:SX65549 ACT65544:ACT65549 AMP65544:AMP65549 AWL65544:AWL65549 BGH65544:BGH65549 BQD65544:BQD65549 BZZ65544:BZZ65549 CJV65544:CJV65549 CTR65544:CTR65549 DDN65544:DDN65549 DNJ65544:DNJ65549 DXF65544:DXF65549 EHB65544:EHB65549 EQX65544:EQX65549 FAT65544:FAT65549 FKP65544:FKP65549 FUL65544:FUL65549 GEH65544:GEH65549 GOD65544:GOD65549 GXZ65544:GXZ65549 HHV65544:HHV65549 HRR65544:HRR65549 IBN65544:IBN65549 ILJ65544:ILJ65549 IVF65544:IVF65549 JFB65544:JFB65549 JOX65544:JOX65549 JYT65544:JYT65549 KIP65544:KIP65549 KSL65544:KSL65549 LCH65544:LCH65549 LMD65544:LMD65549 LVZ65544:LVZ65549 MFV65544:MFV65549 MPR65544:MPR65549 MZN65544:MZN65549 NJJ65544:NJJ65549 NTF65544:NTF65549 ODB65544:ODB65549 OMX65544:OMX65549 OWT65544:OWT65549 PGP65544:PGP65549 PQL65544:PQL65549 QAH65544:QAH65549 QKD65544:QKD65549 QTZ65544:QTZ65549 RDV65544:RDV65549 RNR65544:RNR65549 RXN65544:RXN65549 SHJ65544:SHJ65549 SRF65544:SRF65549 TBB65544:TBB65549 TKX65544:TKX65549 TUT65544:TUT65549 UEP65544:UEP65549 UOL65544:UOL65549 UYH65544:UYH65549 VID65544:VID65549 VRZ65544:VRZ65549 WBV65544:WBV65549 WLR65544:WLR65549 WVN65544:WVN65549 F131080:F131085 JB131080:JB131085 SX131080:SX131085 ACT131080:ACT131085 AMP131080:AMP131085 AWL131080:AWL131085 BGH131080:BGH131085 BQD131080:BQD131085 BZZ131080:BZZ131085 CJV131080:CJV131085 CTR131080:CTR131085 DDN131080:DDN131085 DNJ131080:DNJ131085 DXF131080:DXF131085 EHB131080:EHB131085 EQX131080:EQX131085 FAT131080:FAT131085 FKP131080:FKP131085 FUL131080:FUL131085 GEH131080:GEH131085 GOD131080:GOD131085 GXZ131080:GXZ131085 HHV131080:HHV131085 HRR131080:HRR131085 IBN131080:IBN131085 ILJ131080:ILJ131085 IVF131080:IVF131085 JFB131080:JFB131085 JOX131080:JOX131085 JYT131080:JYT131085 KIP131080:KIP131085 KSL131080:KSL131085 LCH131080:LCH131085 LMD131080:LMD131085 LVZ131080:LVZ131085 MFV131080:MFV131085 MPR131080:MPR131085 MZN131080:MZN131085 NJJ131080:NJJ131085 NTF131080:NTF131085 ODB131080:ODB131085 OMX131080:OMX131085 OWT131080:OWT131085 PGP131080:PGP131085 PQL131080:PQL131085 QAH131080:QAH131085 QKD131080:QKD131085 QTZ131080:QTZ131085 RDV131080:RDV131085 RNR131080:RNR131085 RXN131080:RXN131085 SHJ131080:SHJ131085 SRF131080:SRF131085 TBB131080:TBB131085 TKX131080:TKX131085 TUT131080:TUT131085 UEP131080:UEP131085 UOL131080:UOL131085 UYH131080:UYH131085 VID131080:VID131085 VRZ131080:VRZ131085 WBV131080:WBV131085 WLR131080:WLR131085 WVN131080:WVN131085 F196616:F196621 JB196616:JB196621 SX196616:SX196621 ACT196616:ACT196621 AMP196616:AMP196621 AWL196616:AWL196621 BGH196616:BGH196621 BQD196616:BQD196621 BZZ196616:BZZ196621 CJV196616:CJV196621 CTR196616:CTR196621 DDN196616:DDN196621 DNJ196616:DNJ196621 DXF196616:DXF196621 EHB196616:EHB196621 EQX196616:EQX196621 FAT196616:FAT196621 FKP196616:FKP196621 FUL196616:FUL196621 GEH196616:GEH196621 GOD196616:GOD196621 GXZ196616:GXZ196621 HHV196616:HHV196621 HRR196616:HRR196621 IBN196616:IBN196621 ILJ196616:ILJ196621 IVF196616:IVF196621 JFB196616:JFB196621 JOX196616:JOX196621 JYT196616:JYT196621 KIP196616:KIP196621 KSL196616:KSL196621 LCH196616:LCH196621 LMD196616:LMD196621 LVZ196616:LVZ196621 MFV196616:MFV196621 MPR196616:MPR196621 MZN196616:MZN196621 NJJ196616:NJJ196621 NTF196616:NTF196621 ODB196616:ODB196621 OMX196616:OMX196621 OWT196616:OWT196621 PGP196616:PGP196621 PQL196616:PQL196621 QAH196616:QAH196621 QKD196616:QKD196621 QTZ196616:QTZ196621 RDV196616:RDV196621 RNR196616:RNR196621 RXN196616:RXN196621 SHJ196616:SHJ196621 SRF196616:SRF196621 TBB196616:TBB196621 TKX196616:TKX196621 TUT196616:TUT196621 UEP196616:UEP196621 UOL196616:UOL196621 UYH196616:UYH196621 VID196616:VID196621 VRZ196616:VRZ196621 WBV196616:WBV196621 WLR196616:WLR196621 WVN196616:WVN196621 F262152:F262157 JB262152:JB262157 SX262152:SX262157 ACT262152:ACT262157 AMP262152:AMP262157 AWL262152:AWL262157 BGH262152:BGH262157 BQD262152:BQD262157 BZZ262152:BZZ262157 CJV262152:CJV262157 CTR262152:CTR262157 DDN262152:DDN262157 DNJ262152:DNJ262157 DXF262152:DXF262157 EHB262152:EHB262157 EQX262152:EQX262157 FAT262152:FAT262157 FKP262152:FKP262157 FUL262152:FUL262157 GEH262152:GEH262157 GOD262152:GOD262157 GXZ262152:GXZ262157 HHV262152:HHV262157 HRR262152:HRR262157 IBN262152:IBN262157 ILJ262152:ILJ262157 IVF262152:IVF262157 JFB262152:JFB262157 JOX262152:JOX262157 JYT262152:JYT262157 KIP262152:KIP262157 KSL262152:KSL262157 LCH262152:LCH262157 LMD262152:LMD262157 LVZ262152:LVZ262157 MFV262152:MFV262157 MPR262152:MPR262157 MZN262152:MZN262157 NJJ262152:NJJ262157 NTF262152:NTF262157 ODB262152:ODB262157 OMX262152:OMX262157 OWT262152:OWT262157 PGP262152:PGP262157 PQL262152:PQL262157 QAH262152:QAH262157 QKD262152:QKD262157 QTZ262152:QTZ262157 RDV262152:RDV262157 RNR262152:RNR262157 RXN262152:RXN262157 SHJ262152:SHJ262157 SRF262152:SRF262157 TBB262152:TBB262157 TKX262152:TKX262157 TUT262152:TUT262157 UEP262152:UEP262157 UOL262152:UOL262157 UYH262152:UYH262157 VID262152:VID262157 VRZ262152:VRZ262157 WBV262152:WBV262157 WLR262152:WLR262157 WVN262152:WVN262157 F327688:F327693 JB327688:JB327693 SX327688:SX327693 ACT327688:ACT327693 AMP327688:AMP327693 AWL327688:AWL327693 BGH327688:BGH327693 BQD327688:BQD327693 BZZ327688:BZZ327693 CJV327688:CJV327693 CTR327688:CTR327693 DDN327688:DDN327693 DNJ327688:DNJ327693 DXF327688:DXF327693 EHB327688:EHB327693 EQX327688:EQX327693 FAT327688:FAT327693 FKP327688:FKP327693 FUL327688:FUL327693 GEH327688:GEH327693 GOD327688:GOD327693 GXZ327688:GXZ327693 HHV327688:HHV327693 HRR327688:HRR327693 IBN327688:IBN327693 ILJ327688:ILJ327693 IVF327688:IVF327693 JFB327688:JFB327693 JOX327688:JOX327693 JYT327688:JYT327693 KIP327688:KIP327693 KSL327688:KSL327693 LCH327688:LCH327693 LMD327688:LMD327693 LVZ327688:LVZ327693 MFV327688:MFV327693 MPR327688:MPR327693 MZN327688:MZN327693 NJJ327688:NJJ327693 NTF327688:NTF327693 ODB327688:ODB327693 OMX327688:OMX327693 OWT327688:OWT327693 PGP327688:PGP327693 PQL327688:PQL327693 QAH327688:QAH327693 QKD327688:QKD327693 QTZ327688:QTZ327693 RDV327688:RDV327693 RNR327688:RNR327693 RXN327688:RXN327693 SHJ327688:SHJ327693 SRF327688:SRF327693 TBB327688:TBB327693 TKX327688:TKX327693 TUT327688:TUT327693 UEP327688:UEP327693 UOL327688:UOL327693 UYH327688:UYH327693 VID327688:VID327693 VRZ327688:VRZ327693 WBV327688:WBV327693 WLR327688:WLR327693 WVN327688:WVN327693 F393224:F393229 JB393224:JB393229 SX393224:SX393229 ACT393224:ACT393229 AMP393224:AMP393229 AWL393224:AWL393229 BGH393224:BGH393229 BQD393224:BQD393229 BZZ393224:BZZ393229 CJV393224:CJV393229 CTR393224:CTR393229 DDN393224:DDN393229 DNJ393224:DNJ393229 DXF393224:DXF393229 EHB393224:EHB393229 EQX393224:EQX393229 FAT393224:FAT393229 FKP393224:FKP393229 FUL393224:FUL393229 GEH393224:GEH393229 GOD393224:GOD393229 GXZ393224:GXZ393229 HHV393224:HHV393229 HRR393224:HRR393229 IBN393224:IBN393229 ILJ393224:ILJ393229 IVF393224:IVF393229 JFB393224:JFB393229 JOX393224:JOX393229 JYT393224:JYT393229 KIP393224:KIP393229 KSL393224:KSL393229 LCH393224:LCH393229 LMD393224:LMD393229 LVZ393224:LVZ393229 MFV393224:MFV393229 MPR393224:MPR393229 MZN393224:MZN393229 NJJ393224:NJJ393229 NTF393224:NTF393229 ODB393224:ODB393229 OMX393224:OMX393229 OWT393224:OWT393229 PGP393224:PGP393229 PQL393224:PQL393229 QAH393224:QAH393229 QKD393224:QKD393229 QTZ393224:QTZ393229 RDV393224:RDV393229 RNR393224:RNR393229 RXN393224:RXN393229 SHJ393224:SHJ393229 SRF393224:SRF393229 TBB393224:TBB393229 TKX393224:TKX393229 TUT393224:TUT393229 UEP393224:UEP393229 UOL393224:UOL393229 UYH393224:UYH393229 VID393224:VID393229 VRZ393224:VRZ393229 WBV393224:WBV393229 WLR393224:WLR393229 WVN393224:WVN393229 F458760:F458765 JB458760:JB458765 SX458760:SX458765 ACT458760:ACT458765 AMP458760:AMP458765 AWL458760:AWL458765 BGH458760:BGH458765 BQD458760:BQD458765 BZZ458760:BZZ458765 CJV458760:CJV458765 CTR458760:CTR458765 DDN458760:DDN458765 DNJ458760:DNJ458765 DXF458760:DXF458765 EHB458760:EHB458765 EQX458760:EQX458765 FAT458760:FAT458765 FKP458760:FKP458765 FUL458760:FUL458765 GEH458760:GEH458765 GOD458760:GOD458765 GXZ458760:GXZ458765 HHV458760:HHV458765 HRR458760:HRR458765 IBN458760:IBN458765 ILJ458760:ILJ458765 IVF458760:IVF458765 JFB458760:JFB458765 JOX458760:JOX458765 JYT458760:JYT458765 KIP458760:KIP458765 KSL458760:KSL458765 LCH458760:LCH458765 LMD458760:LMD458765 LVZ458760:LVZ458765 MFV458760:MFV458765 MPR458760:MPR458765 MZN458760:MZN458765 NJJ458760:NJJ458765 NTF458760:NTF458765 ODB458760:ODB458765 OMX458760:OMX458765 OWT458760:OWT458765 PGP458760:PGP458765 PQL458760:PQL458765 QAH458760:QAH458765 QKD458760:QKD458765 QTZ458760:QTZ458765 RDV458760:RDV458765 RNR458760:RNR458765 RXN458760:RXN458765 SHJ458760:SHJ458765 SRF458760:SRF458765 TBB458760:TBB458765 TKX458760:TKX458765 TUT458760:TUT458765 UEP458760:UEP458765 UOL458760:UOL458765 UYH458760:UYH458765 VID458760:VID458765 VRZ458760:VRZ458765 WBV458760:WBV458765 WLR458760:WLR458765 WVN458760:WVN458765 F524296:F524301 JB524296:JB524301 SX524296:SX524301 ACT524296:ACT524301 AMP524296:AMP524301 AWL524296:AWL524301 BGH524296:BGH524301 BQD524296:BQD524301 BZZ524296:BZZ524301 CJV524296:CJV524301 CTR524296:CTR524301 DDN524296:DDN524301 DNJ524296:DNJ524301 DXF524296:DXF524301 EHB524296:EHB524301 EQX524296:EQX524301 FAT524296:FAT524301 FKP524296:FKP524301 FUL524296:FUL524301 GEH524296:GEH524301 GOD524296:GOD524301 GXZ524296:GXZ524301 HHV524296:HHV524301 HRR524296:HRR524301 IBN524296:IBN524301 ILJ524296:ILJ524301 IVF524296:IVF524301 JFB524296:JFB524301 JOX524296:JOX524301 JYT524296:JYT524301 KIP524296:KIP524301 KSL524296:KSL524301 LCH524296:LCH524301 LMD524296:LMD524301 LVZ524296:LVZ524301 MFV524296:MFV524301 MPR524296:MPR524301 MZN524296:MZN524301 NJJ524296:NJJ524301 NTF524296:NTF524301 ODB524296:ODB524301 OMX524296:OMX524301 OWT524296:OWT524301 PGP524296:PGP524301 PQL524296:PQL524301 QAH524296:QAH524301 QKD524296:QKD524301 QTZ524296:QTZ524301 RDV524296:RDV524301 RNR524296:RNR524301 RXN524296:RXN524301 SHJ524296:SHJ524301 SRF524296:SRF524301 TBB524296:TBB524301 TKX524296:TKX524301 TUT524296:TUT524301 UEP524296:UEP524301 UOL524296:UOL524301 UYH524296:UYH524301 VID524296:VID524301 VRZ524296:VRZ524301 WBV524296:WBV524301 WLR524296:WLR524301 WVN524296:WVN524301 F589832:F589837 JB589832:JB589837 SX589832:SX589837 ACT589832:ACT589837 AMP589832:AMP589837 AWL589832:AWL589837 BGH589832:BGH589837 BQD589832:BQD589837 BZZ589832:BZZ589837 CJV589832:CJV589837 CTR589832:CTR589837 DDN589832:DDN589837 DNJ589832:DNJ589837 DXF589832:DXF589837 EHB589832:EHB589837 EQX589832:EQX589837 FAT589832:FAT589837 FKP589832:FKP589837 FUL589832:FUL589837 GEH589832:GEH589837 GOD589832:GOD589837 GXZ589832:GXZ589837 HHV589832:HHV589837 HRR589832:HRR589837 IBN589832:IBN589837 ILJ589832:ILJ589837 IVF589832:IVF589837 JFB589832:JFB589837 JOX589832:JOX589837 JYT589832:JYT589837 KIP589832:KIP589837 KSL589832:KSL589837 LCH589832:LCH589837 LMD589832:LMD589837 LVZ589832:LVZ589837 MFV589832:MFV589837 MPR589832:MPR589837 MZN589832:MZN589837 NJJ589832:NJJ589837 NTF589832:NTF589837 ODB589832:ODB589837 OMX589832:OMX589837 OWT589832:OWT589837 PGP589832:PGP589837 PQL589832:PQL589837 QAH589832:QAH589837 QKD589832:QKD589837 QTZ589832:QTZ589837 RDV589832:RDV589837 RNR589832:RNR589837 RXN589832:RXN589837 SHJ589832:SHJ589837 SRF589832:SRF589837 TBB589832:TBB589837 TKX589832:TKX589837 TUT589832:TUT589837 UEP589832:UEP589837 UOL589832:UOL589837 UYH589832:UYH589837 VID589832:VID589837 VRZ589832:VRZ589837 WBV589832:WBV589837 WLR589832:WLR589837 WVN589832:WVN589837 F655368:F655373 JB655368:JB655373 SX655368:SX655373 ACT655368:ACT655373 AMP655368:AMP655373 AWL655368:AWL655373 BGH655368:BGH655373 BQD655368:BQD655373 BZZ655368:BZZ655373 CJV655368:CJV655373 CTR655368:CTR655373 DDN655368:DDN655373 DNJ655368:DNJ655373 DXF655368:DXF655373 EHB655368:EHB655373 EQX655368:EQX655373 FAT655368:FAT655373 FKP655368:FKP655373 FUL655368:FUL655373 GEH655368:GEH655373 GOD655368:GOD655373 GXZ655368:GXZ655373 HHV655368:HHV655373 HRR655368:HRR655373 IBN655368:IBN655373 ILJ655368:ILJ655373 IVF655368:IVF655373 JFB655368:JFB655373 JOX655368:JOX655373 JYT655368:JYT655373 KIP655368:KIP655373 KSL655368:KSL655373 LCH655368:LCH655373 LMD655368:LMD655373 LVZ655368:LVZ655373 MFV655368:MFV655373 MPR655368:MPR655373 MZN655368:MZN655373 NJJ655368:NJJ655373 NTF655368:NTF655373 ODB655368:ODB655373 OMX655368:OMX655373 OWT655368:OWT655373 PGP655368:PGP655373 PQL655368:PQL655373 QAH655368:QAH655373 QKD655368:QKD655373 QTZ655368:QTZ655373 RDV655368:RDV655373 RNR655368:RNR655373 RXN655368:RXN655373 SHJ655368:SHJ655373 SRF655368:SRF655373 TBB655368:TBB655373 TKX655368:TKX655373 TUT655368:TUT655373 UEP655368:UEP655373 UOL655368:UOL655373 UYH655368:UYH655373 VID655368:VID655373 VRZ655368:VRZ655373 WBV655368:WBV655373 WLR655368:WLR655373 WVN655368:WVN655373 F720904:F720909 JB720904:JB720909 SX720904:SX720909 ACT720904:ACT720909 AMP720904:AMP720909 AWL720904:AWL720909 BGH720904:BGH720909 BQD720904:BQD720909 BZZ720904:BZZ720909 CJV720904:CJV720909 CTR720904:CTR720909 DDN720904:DDN720909 DNJ720904:DNJ720909 DXF720904:DXF720909 EHB720904:EHB720909 EQX720904:EQX720909 FAT720904:FAT720909 FKP720904:FKP720909 FUL720904:FUL720909 GEH720904:GEH720909 GOD720904:GOD720909 GXZ720904:GXZ720909 HHV720904:HHV720909 HRR720904:HRR720909 IBN720904:IBN720909 ILJ720904:ILJ720909 IVF720904:IVF720909 JFB720904:JFB720909 JOX720904:JOX720909 JYT720904:JYT720909 KIP720904:KIP720909 KSL720904:KSL720909 LCH720904:LCH720909 LMD720904:LMD720909 LVZ720904:LVZ720909 MFV720904:MFV720909 MPR720904:MPR720909 MZN720904:MZN720909 NJJ720904:NJJ720909 NTF720904:NTF720909 ODB720904:ODB720909 OMX720904:OMX720909 OWT720904:OWT720909 PGP720904:PGP720909 PQL720904:PQL720909 QAH720904:QAH720909 QKD720904:QKD720909 QTZ720904:QTZ720909 RDV720904:RDV720909 RNR720904:RNR720909 RXN720904:RXN720909 SHJ720904:SHJ720909 SRF720904:SRF720909 TBB720904:TBB720909 TKX720904:TKX720909 TUT720904:TUT720909 UEP720904:UEP720909 UOL720904:UOL720909 UYH720904:UYH720909 VID720904:VID720909 VRZ720904:VRZ720909 WBV720904:WBV720909 WLR720904:WLR720909 WVN720904:WVN720909 F786440:F786445 JB786440:JB786445 SX786440:SX786445 ACT786440:ACT786445 AMP786440:AMP786445 AWL786440:AWL786445 BGH786440:BGH786445 BQD786440:BQD786445 BZZ786440:BZZ786445 CJV786440:CJV786445 CTR786440:CTR786445 DDN786440:DDN786445 DNJ786440:DNJ786445 DXF786440:DXF786445 EHB786440:EHB786445 EQX786440:EQX786445 FAT786440:FAT786445 FKP786440:FKP786445 FUL786440:FUL786445 GEH786440:GEH786445 GOD786440:GOD786445 GXZ786440:GXZ786445 HHV786440:HHV786445 HRR786440:HRR786445 IBN786440:IBN786445 ILJ786440:ILJ786445 IVF786440:IVF786445 JFB786440:JFB786445 JOX786440:JOX786445 JYT786440:JYT786445 KIP786440:KIP786445 KSL786440:KSL786445 LCH786440:LCH786445 LMD786440:LMD786445 LVZ786440:LVZ786445 MFV786440:MFV786445 MPR786440:MPR786445 MZN786440:MZN786445 NJJ786440:NJJ786445 NTF786440:NTF786445 ODB786440:ODB786445 OMX786440:OMX786445 OWT786440:OWT786445 PGP786440:PGP786445 PQL786440:PQL786445 QAH786440:QAH786445 QKD786440:QKD786445 QTZ786440:QTZ786445 RDV786440:RDV786445 RNR786440:RNR786445 RXN786440:RXN786445 SHJ786440:SHJ786445 SRF786440:SRF786445 TBB786440:TBB786445 TKX786440:TKX786445 TUT786440:TUT786445 UEP786440:UEP786445 UOL786440:UOL786445 UYH786440:UYH786445 VID786440:VID786445 VRZ786440:VRZ786445 WBV786440:WBV786445 WLR786440:WLR786445 WVN786440:WVN786445 F851976:F851981 JB851976:JB851981 SX851976:SX851981 ACT851976:ACT851981 AMP851976:AMP851981 AWL851976:AWL851981 BGH851976:BGH851981 BQD851976:BQD851981 BZZ851976:BZZ851981 CJV851976:CJV851981 CTR851976:CTR851981 DDN851976:DDN851981 DNJ851976:DNJ851981 DXF851976:DXF851981 EHB851976:EHB851981 EQX851976:EQX851981 FAT851976:FAT851981 FKP851976:FKP851981 FUL851976:FUL851981 GEH851976:GEH851981 GOD851976:GOD851981 GXZ851976:GXZ851981 HHV851976:HHV851981 HRR851976:HRR851981 IBN851976:IBN851981 ILJ851976:ILJ851981 IVF851976:IVF851981 JFB851976:JFB851981 JOX851976:JOX851981 JYT851976:JYT851981 KIP851976:KIP851981 KSL851976:KSL851981 LCH851976:LCH851981 LMD851976:LMD851981 LVZ851976:LVZ851981 MFV851976:MFV851981 MPR851976:MPR851981 MZN851976:MZN851981 NJJ851976:NJJ851981 NTF851976:NTF851981 ODB851976:ODB851981 OMX851976:OMX851981 OWT851976:OWT851981 PGP851976:PGP851981 PQL851976:PQL851981 QAH851976:QAH851981 QKD851976:QKD851981 QTZ851976:QTZ851981 RDV851976:RDV851981 RNR851976:RNR851981 RXN851976:RXN851981 SHJ851976:SHJ851981 SRF851976:SRF851981 TBB851976:TBB851981 TKX851976:TKX851981 TUT851976:TUT851981 UEP851976:UEP851981 UOL851976:UOL851981 UYH851976:UYH851981 VID851976:VID851981 VRZ851976:VRZ851981 WBV851976:WBV851981 WLR851976:WLR851981 WVN851976:WVN851981 F917512:F917517 JB917512:JB917517 SX917512:SX917517 ACT917512:ACT917517 AMP917512:AMP917517 AWL917512:AWL917517 BGH917512:BGH917517 BQD917512:BQD917517 BZZ917512:BZZ917517 CJV917512:CJV917517 CTR917512:CTR917517 DDN917512:DDN917517 DNJ917512:DNJ917517 DXF917512:DXF917517 EHB917512:EHB917517 EQX917512:EQX917517 FAT917512:FAT917517 FKP917512:FKP917517 FUL917512:FUL917517 GEH917512:GEH917517 GOD917512:GOD917517 GXZ917512:GXZ917517 HHV917512:HHV917517 HRR917512:HRR917517 IBN917512:IBN917517 ILJ917512:ILJ917517 IVF917512:IVF917517 JFB917512:JFB917517 JOX917512:JOX917517 JYT917512:JYT917517 KIP917512:KIP917517 KSL917512:KSL917517 LCH917512:LCH917517 LMD917512:LMD917517 LVZ917512:LVZ917517 MFV917512:MFV917517 MPR917512:MPR917517 MZN917512:MZN917517 NJJ917512:NJJ917517 NTF917512:NTF917517 ODB917512:ODB917517 OMX917512:OMX917517 OWT917512:OWT917517 PGP917512:PGP917517 PQL917512:PQL917517 QAH917512:QAH917517 QKD917512:QKD917517 QTZ917512:QTZ917517 RDV917512:RDV917517 RNR917512:RNR917517 RXN917512:RXN917517 SHJ917512:SHJ917517 SRF917512:SRF917517 TBB917512:TBB917517 TKX917512:TKX917517 TUT917512:TUT917517 UEP917512:UEP917517 UOL917512:UOL917517 UYH917512:UYH917517 VID917512:VID917517 VRZ917512:VRZ917517 WBV917512:WBV917517 WLR917512:WLR917517 WVN917512:WVN917517 F983048:F983053 JB983048:JB983053 SX983048:SX983053 ACT983048:ACT983053 AMP983048:AMP983053 AWL983048:AWL983053 BGH983048:BGH983053 BQD983048:BQD983053 BZZ983048:BZZ983053 CJV983048:CJV983053 CTR983048:CTR983053 DDN983048:DDN983053 DNJ983048:DNJ983053 DXF983048:DXF983053 EHB983048:EHB983053 EQX983048:EQX983053 FAT983048:FAT983053 FKP983048:FKP983053 FUL983048:FUL983053 GEH983048:GEH983053 GOD983048:GOD983053 GXZ983048:GXZ983053 HHV983048:HHV983053 HRR983048:HRR983053 IBN983048:IBN983053 ILJ983048:ILJ983053 IVF983048:IVF983053 JFB983048:JFB983053 JOX983048:JOX983053 JYT983048:JYT983053 KIP983048:KIP983053 KSL983048:KSL983053 LCH983048:LCH983053 LMD983048:LMD983053 LVZ983048:LVZ983053 MFV983048:MFV983053 MPR983048:MPR983053 MZN983048:MZN983053 NJJ983048:NJJ983053 NTF983048:NTF983053 ODB983048:ODB983053 OMX983048:OMX983053 OWT983048:OWT983053 PGP983048:PGP983053 PQL983048:PQL983053 QAH983048:QAH983053 QKD983048:QKD983053 QTZ983048:QTZ983053 RDV983048:RDV983053 RNR983048:RNR983053 RXN983048:RXN983053 SHJ983048:SHJ983053 SRF983048:SRF983053 TBB983048:TBB983053 TKX983048:TKX983053 TUT983048:TUT983053 UEP983048:UEP983053 UOL983048:UOL983053 UYH983048:UYH983053 VID983048:VID983053 VRZ983048:VRZ983053 WBV983048:WBV983053 WLR983048:WLR983053 WVN983048:WVN983053 I64:I69 JE64:JE69 TA64:TA69 ACW64:ACW69 AMS64:AMS69 AWO64:AWO69 BGK64:BGK69 BQG64:BQG69 CAC64:CAC69 CJY64:CJY69 CTU64:CTU69 DDQ64:DDQ69 DNM64:DNM69 DXI64:DXI69 EHE64:EHE69 ERA64:ERA69 FAW64:FAW69 FKS64:FKS69 FUO64:FUO69 GEK64:GEK69 GOG64:GOG69 GYC64:GYC69 HHY64:HHY69 HRU64:HRU69 IBQ64:IBQ69 ILM64:ILM69 IVI64:IVI69 JFE64:JFE69 JPA64:JPA69 JYW64:JYW69 KIS64:KIS69 KSO64:KSO69 LCK64:LCK69 LMG64:LMG69 LWC64:LWC69 MFY64:MFY69 MPU64:MPU69 MZQ64:MZQ69 NJM64:NJM69 NTI64:NTI69 ODE64:ODE69 ONA64:ONA69 OWW64:OWW69 PGS64:PGS69 PQO64:PQO69 QAK64:QAK69 QKG64:QKG69 QUC64:QUC69 RDY64:RDY69 RNU64:RNU69 RXQ64:RXQ69 SHM64:SHM69 SRI64:SRI69 TBE64:TBE69 TLA64:TLA69 TUW64:TUW69 UES64:UES69 UOO64:UOO69 UYK64:UYK69 VIG64:VIG69 VSC64:VSC69 WBY64:WBY69 WLU64:WLU69 WVQ64:WVQ69 I65600:I65605 JE65600:JE65605 TA65600:TA65605 ACW65600:ACW65605 AMS65600:AMS65605 AWO65600:AWO65605 BGK65600:BGK65605 BQG65600:BQG65605 CAC65600:CAC65605 CJY65600:CJY65605 CTU65600:CTU65605 DDQ65600:DDQ65605 DNM65600:DNM65605 DXI65600:DXI65605 EHE65600:EHE65605 ERA65600:ERA65605 FAW65600:FAW65605 FKS65600:FKS65605 FUO65600:FUO65605 GEK65600:GEK65605 GOG65600:GOG65605 GYC65600:GYC65605 HHY65600:HHY65605 HRU65600:HRU65605 IBQ65600:IBQ65605 ILM65600:ILM65605 IVI65600:IVI65605 JFE65600:JFE65605 JPA65600:JPA65605 JYW65600:JYW65605 KIS65600:KIS65605 KSO65600:KSO65605 LCK65600:LCK65605 LMG65600:LMG65605 LWC65600:LWC65605 MFY65600:MFY65605 MPU65600:MPU65605 MZQ65600:MZQ65605 NJM65600:NJM65605 NTI65600:NTI65605 ODE65600:ODE65605 ONA65600:ONA65605 OWW65600:OWW65605 PGS65600:PGS65605 PQO65600:PQO65605 QAK65600:QAK65605 QKG65600:QKG65605 QUC65600:QUC65605 RDY65600:RDY65605 RNU65600:RNU65605 RXQ65600:RXQ65605 SHM65600:SHM65605 SRI65600:SRI65605 TBE65600:TBE65605 TLA65600:TLA65605 TUW65600:TUW65605 UES65600:UES65605 UOO65600:UOO65605 UYK65600:UYK65605 VIG65600:VIG65605 VSC65600:VSC65605 WBY65600:WBY65605 WLU65600:WLU65605 WVQ65600:WVQ65605 I131136:I131141 JE131136:JE131141 TA131136:TA131141 ACW131136:ACW131141 AMS131136:AMS131141 AWO131136:AWO131141 BGK131136:BGK131141 BQG131136:BQG131141 CAC131136:CAC131141 CJY131136:CJY131141 CTU131136:CTU131141 DDQ131136:DDQ131141 DNM131136:DNM131141 DXI131136:DXI131141 EHE131136:EHE131141 ERA131136:ERA131141 FAW131136:FAW131141 FKS131136:FKS131141 FUO131136:FUO131141 GEK131136:GEK131141 GOG131136:GOG131141 GYC131136:GYC131141 HHY131136:HHY131141 HRU131136:HRU131141 IBQ131136:IBQ131141 ILM131136:ILM131141 IVI131136:IVI131141 JFE131136:JFE131141 JPA131136:JPA131141 JYW131136:JYW131141 KIS131136:KIS131141 KSO131136:KSO131141 LCK131136:LCK131141 LMG131136:LMG131141 LWC131136:LWC131141 MFY131136:MFY131141 MPU131136:MPU131141 MZQ131136:MZQ131141 NJM131136:NJM131141 NTI131136:NTI131141 ODE131136:ODE131141 ONA131136:ONA131141 OWW131136:OWW131141 PGS131136:PGS131141 PQO131136:PQO131141 QAK131136:QAK131141 QKG131136:QKG131141 QUC131136:QUC131141 RDY131136:RDY131141 RNU131136:RNU131141 RXQ131136:RXQ131141 SHM131136:SHM131141 SRI131136:SRI131141 TBE131136:TBE131141 TLA131136:TLA131141 TUW131136:TUW131141 UES131136:UES131141 UOO131136:UOO131141 UYK131136:UYK131141 VIG131136:VIG131141 VSC131136:VSC131141 WBY131136:WBY131141 WLU131136:WLU131141 WVQ131136:WVQ131141 I196672:I196677 JE196672:JE196677 TA196672:TA196677 ACW196672:ACW196677 AMS196672:AMS196677 AWO196672:AWO196677 BGK196672:BGK196677 BQG196672:BQG196677 CAC196672:CAC196677 CJY196672:CJY196677 CTU196672:CTU196677 DDQ196672:DDQ196677 DNM196672:DNM196677 DXI196672:DXI196677 EHE196672:EHE196677 ERA196672:ERA196677 FAW196672:FAW196677 FKS196672:FKS196677 FUO196672:FUO196677 GEK196672:GEK196677 GOG196672:GOG196677 GYC196672:GYC196677 HHY196672:HHY196677 HRU196672:HRU196677 IBQ196672:IBQ196677 ILM196672:ILM196677 IVI196672:IVI196677 JFE196672:JFE196677 JPA196672:JPA196677 JYW196672:JYW196677 KIS196672:KIS196677 KSO196672:KSO196677 LCK196672:LCK196677 LMG196672:LMG196677 LWC196672:LWC196677 MFY196672:MFY196677 MPU196672:MPU196677 MZQ196672:MZQ196677 NJM196672:NJM196677 NTI196672:NTI196677 ODE196672:ODE196677 ONA196672:ONA196677 OWW196672:OWW196677 PGS196672:PGS196677 PQO196672:PQO196677 QAK196672:QAK196677 QKG196672:QKG196677 QUC196672:QUC196677 RDY196672:RDY196677 RNU196672:RNU196677 RXQ196672:RXQ196677 SHM196672:SHM196677 SRI196672:SRI196677 TBE196672:TBE196677 TLA196672:TLA196677 TUW196672:TUW196677 UES196672:UES196677 UOO196672:UOO196677 UYK196672:UYK196677 VIG196672:VIG196677 VSC196672:VSC196677 WBY196672:WBY196677 WLU196672:WLU196677 WVQ196672:WVQ196677 I262208:I262213 JE262208:JE262213 TA262208:TA262213 ACW262208:ACW262213 AMS262208:AMS262213 AWO262208:AWO262213 BGK262208:BGK262213 BQG262208:BQG262213 CAC262208:CAC262213 CJY262208:CJY262213 CTU262208:CTU262213 DDQ262208:DDQ262213 DNM262208:DNM262213 DXI262208:DXI262213 EHE262208:EHE262213 ERA262208:ERA262213 FAW262208:FAW262213 FKS262208:FKS262213 FUO262208:FUO262213 GEK262208:GEK262213 GOG262208:GOG262213 GYC262208:GYC262213 HHY262208:HHY262213 HRU262208:HRU262213 IBQ262208:IBQ262213 ILM262208:ILM262213 IVI262208:IVI262213 JFE262208:JFE262213 JPA262208:JPA262213 JYW262208:JYW262213 KIS262208:KIS262213 KSO262208:KSO262213 LCK262208:LCK262213 LMG262208:LMG262213 LWC262208:LWC262213 MFY262208:MFY262213 MPU262208:MPU262213 MZQ262208:MZQ262213 NJM262208:NJM262213 NTI262208:NTI262213 ODE262208:ODE262213 ONA262208:ONA262213 OWW262208:OWW262213 PGS262208:PGS262213 PQO262208:PQO262213 QAK262208:QAK262213 QKG262208:QKG262213 QUC262208:QUC262213 RDY262208:RDY262213 RNU262208:RNU262213 RXQ262208:RXQ262213 SHM262208:SHM262213 SRI262208:SRI262213 TBE262208:TBE262213 TLA262208:TLA262213 TUW262208:TUW262213 UES262208:UES262213 UOO262208:UOO262213 UYK262208:UYK262213 VIG262208:VIG262213 VSC262208:VSC262213 WBY262208:WBY262213 WLU262208:WLU262213 WVQ262208:WVQ262213 I327744:I327749 JE327744:JE327749 TA327744:TA327749 ACW327744:ACW327749 AMS327744:AMS327749 AWO327744:AWO327749 BGK327744:BGK327749 BQG327744:BQG327749 CAC327744:CAC327749 CJY327744:CJY327749 CTU327744:CTU327749 DDQ327744:DDQ327749 DNM327744:DNM327749 DXI327744:DXI327749 EHE327744:EHE327749 ERA327744:ERA327749 FAW327744:FAW327749 FKS327744:FKS327749 FUO327744:FUO327749 GEK327744:GEK327749 GOG327744:GOG327749 GYC327744:GYC327749 HHY327744:HHY327749 HRU327744:HRU327749 IBQ327744:IBQ327749 ILM327744:ILM327749 IVI327744:IVI327749 JFE327744:JFE327749 JPA327744:JPA327749 JYW327744:JYW327749 KIS327744:KIS327749 KSO327744:KSO327749 LCK327744:LCK327749 LMG327744:LMG327749 LWC327744:LWC327749 MFY327744:MFY327749 MPU327744:MPU327749 MZQ327744:MZQ327749 NJM327744:NJM327749 NTI327744:NTI327749 ODE327744:ODE327749 ONA327744:ONA327749 OWW327744:OWW327749 PGS327744:PGS327749 PQO327744:PQO327749 QAK327744:QAK327749 QKG327744:QKG327749 QUC327744:QUC327749 RDY327744:RDY327749 RNU327744:RNU327749 RXQ327744:RXQ327749 SHM327744:SHM327749 SRI327744:SRI327749 TBE327744:TBE327749 TLA327744:TLA327749 TUW327744:TUW327749 UES327744:UES327749 UOO327744:UOO327749 UYK327744:UYK327749 VIG327744:VIG327749 VSC327744:VSC327749 WBY327744:WBY327749 WLU327744:WLU327749 WVQ327744:WVQ327749 I393280:I393285 JE393280:JE393285 TA393280:TA393285 ACW393280:ACW393285 AMS393280:AMS393285 AWO393280:AWO393285 BGK393280:BGK393285 BQG393280:BQG393285 CAC393280:CAC393285 CJY393280:CJY393285 CTU393280:CTU393285 DDQ393280:DDQ393285 DNM393280:DNM393285 DXI393280:DXI393285 EHE393280:EHE393285 ERA393280:ERA393285 FAW393280:FAW393285 FKS393280:FKS393285 FUO393280:FUO393285 GEK393280:GEK393285 GOG393280:GOG393285 GYC393280:GYC393285 HHY393280:HHY393285 HRU393280:HRU393285 IBQ393280:IBQ393285 ILM393280:ILM393285 IVI393280:IVI393285 JFE393280:JFE393285 JPA393280:JPA393285 JYW393280:JYW393285 KIS393280:KIS393285 KSO393280:KSO393285 LCK393280:LCK393285 LMG393280:LMG393285 LWC393280:LWC393285 MFY393280:MFY393285 MPU393280:MPU393285 MZQ393280:MZQ393285 NJM393280:NJM393285 NTI393280:NTI393285 ODE393280:ODE393285 ONA393280:ONA393285 OWW393280:OWW393285 PGS393280:PGS393285 PQO393280:PQO393285 QAK393280:QAK393285 QKG393280:QKG393285 QUC393280:QUC393285 RDY393280:RDY393285 RNU393280:RNU393285 RXQ393280:RXQ393285 SHM393280:SHM393285 SRI393280:SRI393285 TBE393280:TBE393285 TLA393280:TLA393285 TUW393280:TUW393285 UES393280:UES393285 UOO393280:UOO393285 UYK393280:UYK393285 VIG393280:VIG393285 VSC393280:VSC393285 WBY393280:WBY393285 WLU393280:WLU393285 WVQ393280:WVQ393285 I458816:I458821 JE458816:JE458821 TA458816:TA458821 ACW458816:ACW458821 AMS458816:AMS458821 AWO458816:AWO458821 BGK458816:BGK458821 BQG458816:BQG458821 CAC458816:CAC458821 CJY458816:CJY458821 CTU458816:CTU458821 DDQ458816:DDQ458821 DNM458816:DNM458821 DXI458816:DXI458821 EHE458816:EHE458821 ERA458816:ERA458821 FAW458816:FAW458821 FKS458816:FKS458821 FUO458816:FUO458821 GEK458816:GEK458821 GOG458816:GOG458821 GYC458816:GYC458821 HHY458816:HHY458821 HRU458816:HRU458821 IBQ458816:IBQ458821 ILM458816:ILM458821 IVI458816:IVI458821 JFE458816:JFE458821 JPA458816:JPA458821 JYW458816:JYW458821 KIS458816:KIS458821 KSO458816:KSO458821 LCK458816:LCK458821 LMG458816:LMG458821 LWC458816:LWC458821 MFY458816:MFY458821 MPU458816:MPU458821 MZQ458816:MZQ458821 NJM458816:NJM458821 NTI458816:NTI458821 ODE458816:ODE458821 ONA458816:ONA458821 OWW458816:OWW458821 PGS458816:PGS458821 PQO458816:PQO458821 QAK458816:QAK458821 QKG458816:QKG458821 QUC458816:QUC458821 RDY458816:RDY458821 RNU458816:RNU458821 RXQ458816:RXQ458821 SHM458816:SHM458821 SRI458816:SRI458821 TBE458816:TBE458821 TLA458816:TLA458821 TUW458816:TUW458821 UES458816:UES458821 UOO458816:UOO458821 UYK458816:UYK458821 VIG458816:VIG458821 VSC458816:VSC458821 WBY458816:WBY458821 WLU458816:WLU458821 WVQ458816:WVQ458821 I524352:I524357 JE524352:JE524357 TA524352:TA524357 ACW524352:ACW524357 AMS524352:AMS524357 AWO524352:AWO524357 BGK524352:BGK524357 BQG524352:BQG524357 CAC524352:CAC524357 CJY524352:CJY524357 CTU524352:CTU524357 DDQ524352:DDQ524357 DNM524352:DNM524357 DXI524352:DXI524357 EHE524352:EHE524357 ERA524352:ERA524357 FAW524352:FAW524357 FKS524352:FKS524357 FUO524352:FUO524357 GEK524352:GEK524357 GOG524352:GOG524357 GYC524352:GYC524357 HHY524352:HHY524357 HRU524352:HRU524357 IBQ524352:IBQ524357 ILM524352:ILM524357 IVI524352:IVI524357 JFE524352:JFE524357 JPA524352:JPA524357 JYW524352:JYW524357 KIS524352:KIS524357 KSO524352:KSO524357 LCK524352:LCK524357 LMG524352:LMG524357 LWC524352:LWC524357 MFY524352:MFY524357 MPU524352:MPU524357 MZQ524352:MZQ524357 NJM524352:NJM524357 NTI524352:NTI524357 ODE524352:ODE524357 ONA524352:ONA524357 OWW524352:OWW524357 PGS524352:PGS524357 PQO524352:PQO524357 QAK524352:QAK524357 QKG524352:QKG524357 QUC524352:QUC524357 RDY524352:RDY524357 RNU524352:RNU524357 RXQ524352:RXQ524357 SHM524352:SHM524357 SRI524352:SRI524357 TBE524352:TBE524357 TLA524352:TLA524357 TUW524352:TUW524357 UES524352:UES524357 UOO524352:UOO524357 UYK524352:UYK524357 VIG524352:VIG524357 VSC524352:VSC524357 WBY524352:WBY524357 WLU524352:WLU524357 WVQ524352:WVQ524357 I589888:I589893 JE589888:JE589893 TA589888:TA589893 ACW589888:ACW589893 AMS589888:AMS589893 AWO589888:AWO589893 BGK589888:BGK589893 BQG589888:BQG589893 CAC589888:CAC589893 CJY589888:CJY589893 CTU589888:CTU589893 DDQ589888:DDQ589893 DNM589888:DNM589893 DXI589888:DXI589893 EHE589888:EHE589893 ERA589888:ERA589893 FAW589888:FAW589893 FKS589888:FKS589893 FUO589888:FUO589893 GEK589888:GEK589893 GOG589888:GOG589893 GYC589888:GYC589893 HHY589888:HHY589893 HRU589888:HRU589893 IBQ589888:IBQ589893 ILM589888:ILM589893 IVI589888:IVI589893 JFE589888:JFE589893 JPA589888:JPA589893 JYW589888:JYW589893 KIS589888:KIS589893 KSO589888:KSO589893 LCK589888:LCK589893 LMG589888:LMG589893 LWC589888:LWC589893 MFY589888:MFY589893 MPU589888:MPU589893 MZQ589888:MZQ589893 NJM589888:NJM589893 NTI589888:NTI589893 ODE589888:ODE589893 ONA589888:ONA589893 OWW589888:OWW589893 PGS589888:PGS589893 PQO589888:PQO589893 QAK589888:QAK589893 QKG589888:QKG589893 QUC589888:QUC589893 RDY589888:RDY589893 RNU589888:RNU589893 RXQ589888:RXQ589893 SHM589888:SHM589893 SRI589888:SRI589893 TBE589888:TBE589893 TLA589888:TLA589893 TUW589888:TUW589893 UES589888:UES589893 UOO589888:UOO589893 UYK589888:UYK589893 VIG589888:VIG589893 VSC589888:VSC589893 WBY589888:WBY589893 WLU589888:WLU589893 WVQ589888:WVQ589893 I655424:I655429 JE655424:JE655429 TA655424:TA655429 ACW655424:ACW655429 AMS655424:AMS655429 AWO655424:AWO655429 BGK655424:BGK655429 BQG655424:BQG655429 CAC655424:CAC655429 CJY655424:CJY655429 CTU655424:CTU655429 DDQ655424:DDQ655429 DNM655424:DNM655429 DXI655424:DXI655429 EHE655424:EHE655429 ERA655424:ERA655429 FAW655424:FAW655429 FKS655424:FKS655429 FUO655424:FUO655429 GEK655424:GEK655429 GOG655424:GOG655429 GYC655424:GYC655429 HHY655424:HHY655429 HRU655424:HRU655429 IBQ655424:IBQ655429 ILM655424:ILM655429 IVI655424:IVI655429 JFE655424:JFE655429 JPA655424:JPA655429 JYW655424:JYW655429 KIS655424:KIS655429 KSO655424:KSO655429 LCK655424:LCK655429 LMG655424:LMG655429 LWC655424:LWC655429 MFY655424:MFY655429 MPU655424:MPU655429 MZQ655424:MZQ655429 NJM655424:NJM655429 NTI655424:NTI655429 ODE655424:ODE655429 ONA655424:ONA655429 OWW655424:OWW655429 PGS655424:PGS655429 PQO655424:PQO655429 QAK655424:QAK655429 QKG655424:QKG655429 QUC655424:QUC655429 RDY655424:RDY655429 RNU655424:RNU655429 RXQ655424:RXQ655429 SHM655424:SHM655429 SRI655424:SRI655429 TBE655424:TBE655429 TLA655424:TLA655429 TUW655424:TUW655429 UES655424:UES655429 UOO655424:UOO655429 UYK655424:UYK655429 VIG655424:VIG655429 VSC655424:VSC655429 WBY655424:WBY655429 WLU655424:WLU655429 WVQ655424:WVQ655429 I720960:I720965 JE720960:JE720965 TA720960:TA720965 ACW720960:ACW720965 AMS720960:AMS720965 AWO720960:AWO720965 BGK720960:BGK720965 BQG720960:BQG720965 CAC720960:CAC720965 CJY720960:CJY720965 CTU720960:CTU720965 DDQ720960:DDQ720965 DNM720960:DNM720965 DXI720960:DXI720965 EHE720960:EHE720965 ERA720960:ERA720965 FAW720960:FAW720965 FKS720960:FKS720965 FUO720960:FUO720965 GEK720960:GEK720965 GOG720960:GOG720965 GYC720960:GYC720965 HHY720960:HHY720965 HRU720960:HRU720965 IBQ720960:IBQ720965 ILM720960:ILM720965 IVI720960:IVI720965 JFE720960:JFE720965 JPA720960:JPA720965 JYW720960:JYW720965 KIS720960:KIS720965 KSO720960:KSO720965 LCK720960:LCK720965 LMG720960:LMG720965 LWC720960:LWC720965 MFY720960:MFY720965 MPU720960:MPU720965 MZQ720960:MZQ720965 NJM720960:NJM720965 NTI720960:NTI720965 ODE720960:ODE720965 ONA720960:ONA720965 OWW720960:OWW720965 PGS720960:PGS720965 PQO720960:PQO720965 QAK720960:QAK720965 QKG720960:QKG720965 QUC720960:QUC720965 RDY720960:RDY720965 RNU720960:RNU720965 RXQ720960:RXQ720965 SHM720960:SHM720965 SRI720960:SRI720965 TBE720960:TBE720965 TLA720960:TLA720965 TUW720960:TUW720965 UES720960:UES720965 UOO720960:UOO720965 UYK720960:UYK720965 VIG720960:VIG720965 VSC720960:VSC720965 WBY720960:WBY720965 WLU720960:WLU720965 WVQ720960:WVQ720965 I786496:I786501 JE786496:JE786501 TA786496:TA786501 ACW786496:ACW786501 AMS786496:AMS786501 AWO786496:AWO786501 BGK786496:BGK786501 BQG786496:BQG786501 CAC786496:CAC786501 CJY786496:CJY786501 CTU786496:CTU786501 DDQ786496:DDQ786501 DNM786496:DNM786501 DXI786496:DXI786501 EHE786496:EHE786501 ERA786496:ERA786501 FAW786496:FAW786501 FKS786496:FKS786501 FUO786496:FUO786501 GEK786496:GEK786501 GOG786496:GOG786501 GYC786496:GYC786501 HHY786496:HHY786501 HRU786496:HRU786501 IBQ786496:IBQ786501 ILM786496:ILM786501 IVI786496:IVI786501 JFE786496:JFE786501 JPA786496:JPA786501 JYW786496:JYW786501 KIS786496:KIS786501 KSO786496:KSO786501 LCK786496:LCK786501 LMG786496:LMG786501 LWC786496:LWC786501 MFY786496:MFY786501 MPU786496:MPU786501 MZQ786496:MZQ786501 NJM786496:NJM786501 NTI786496:NTI786501 ODE786496:ODE786501 ONA786496:ONA786501 OWW786496:OWW786501 PGS786496:PGS786501 PQO786496:PQO786501 QAK786496:QAK786501 QKG786496:QKG786501 QUC786496:QUC786501 RDY786496:RDY786501 RNU786496:RNU786501 RXQ786496:RXQ786501 SHM786496:SHM786501 SRI786496:SRI786501 TBE786496:TBE786501 TLA786496:TLA786501 TUW786496:TUW786501 UES786496:UES786501 UOO786496:UOO786501 UYK786496:UYK786501 VIG786496:VIG786501 VSC786496:VSC786501 WBY786496:WBY786501 WLU786496:WLU786501 WVQ786496:WVQ786501 I852032:I852037 JE852032:JE852037 TA852032:TA852037 ACW852032:ACW852037 AMS852032:AMS852037 AWO852032:AWO852037 BGK852032:BGK852037 BQG852032:BQG852037 CAC852032:CAC852037 CJY852032:CJY852037 CTU852032:CTU852037 DDQ852032:DDQ852037 DNM852032:DNM852037 DXI852032:DXI852037 EHE852032:EHE852037 ERA852032:ERA852037 FAW852032:FAW852037 FKS852032:FKS852037 FUO852032:FUO852037 GEK852032:GEK852037 GOG852032:GOG852037 GYC852032:GYC852037 HHY852032:HHY852037 HRU852032:HRU852037 IBQ852032:IBQ852037 ILM852032:ILM852037 IVI852032:IVI852037 JFE852032:JFE852037 JPA852032:JPA852037 JYW852032:JYW852037 KIS852032:KIS852037 KSO852032:KSO852037 LCK852032:LCK852037 LMG852032:LMG852037 LWC852032:LWC852037 MFY852032:MFY852037 MPU852032:MPU852037 MZQ852032:MZQ852037 NJM852032:NJM852037 NTI852032:NTI852037 ODE852032:ODE852037 ONA852032:ONA852037 OWW852032:OWW852037 PGS852032:PGS852037 PQO852032:PQO852037 QAK852032:QAK852037 QKG852032:QKG852037 QUC852032:QUC852037 RDY852032:RDY852037 RNU852032:RNU852037 RXQ852032:RXQ852037 SHM852032:SHM852037 SRI852032:SRI852037 TBE852032:TBE852037 TLA852032:TLA852037 TUW852032:TUW852037 UES852032:UES852037 UOO852032:UOO852037 UYK852032:UYK852037 VIG852032:VIG852037 VSC852032:VSC852037 WBY852032:WBY852037 WLU852032:WLU852037 WVQ852032:WVQ852037 I917568:I917573 JE917568:JE917573 TA917568:TA917573 ACW917568:ACW917573 AMS917568:AMS917573 AWO917568:AWO917573 BGK917568:BGK917573 BQG917568:BQG917573 CAC917568:CAC917573 CJY917568:CJY917573 CTU917568:CTU917573 DDQ917568:DDQ917573 DNM917568:DNM917573 DXI917568:DXI917573 EHE917568:EHE917573 ERA917568:ERA917573 FAW917568:FAW917573 FKS917568:FKS917573 FUO917568:FUO917573 GEK917568:GEK917573 GOG917568:GOG917573 GYC917568:GYC917573 HHY917568:HHY917573 HRU917568:HRU917573 IBQ917568:IBQ917573 ILM917568:ILM917573 IVI917568:IVI917573 JFE917568:JFE917573 JPA917568:JPA917573 JYW917568:JYW917573 KIS917568:KIS917573 KSO917568:KSO917573 LCK917568:LCK917573 LMG917568:LMG917573 LWC917568:LWC917573 MFY917568:MFY917573 MPU917568:MPU917573 MZQ917568:MZQ917573 NJM917568:NJM917573 NTI917568:NTI917573 ODE917568:ODE917573 ONA917568:ONA917573 OWW917568:OWW917573 PGS917568:PGS917573 PQO917568:PQO917573 QAK917568:QAK917573 QKG917568:QKG917573 QUC917568:QUC917573 RDY917568:RDY917573 RNU917568:RNU917573 RXQ917568:RXQ917573 SHM917568:SHM917573 SRI917568:SRI917573 TBE917568:TBE917573 TLA917568:TLA917573 TUW917568:TUW917573 UES917568:UES917573 UOO917568:UOO917573 UYK917568:UYK917573 VIG917568:VIG917573 VSC917568:VSC917573 WBY917568:WBY917573 WLU917568:WLU917573 WVQ917568:WVQ917573 I983104:I983109 JE983104:JE983109 TA983104:TA983109 ACW983104:ACW983109 AMS983104:AMS983109 AWO983104:AWO983109 BGK983104:BGK983109 BQG983104:BQG983109 CAC983104:CAC983109 CJY983104:CJY983109 CTU983104:CTU983109 DDQ983104:DDQ983109 DNM983104:DNM983109 DXI983104:DXI983109 EHE983104:EHE983109 ERA983104:ERA983109 FAW983104:FAW983109 FKS983104:FKS983109 FUO983104:FUO983109 GEK983104:GEK983109 GOG983104:GOG983109 GYC983104:GYC983109 HHY983104:HHY983109 HRU983104:HRU983109 IBQ983104:IBQ983109 ILM983104:ILM983109 IVI983104:IVI983109 JFE983104:JFE983109 JPA983104:JPA983109 JYW983104:JYW983109 KIS983104:KIS983109 KSO983104:KSO983109 LCK983104:LCK983109 LMG983104:LMG983109 LWC983104:LWC983109 MFY983104:MFY983109 MPU983104:MPU983109 MZQ983104:MZQ983109 NJM983104:NJM983109 NTI983104:NTI983109 ODE983104:ODE983109 ONA983104:ONA983109 OWW983104:OWW983109 PGS983104:PGS983109 PQO983104:PQO983109 QAK983104:QAK983109 QKG983104:QKG983109 QUC983104:QUC983109 RDY983104:RDY983109 RNU983104:RNU983109 RXQ983104:RXQ983109 SHM983104:SHM983109 SRI983104:SRI983109 TBE983104:TBE983109 TLA983104:TLA983109 TUW983104:TUW983109 UES983104:UES983109 UOO983104:UOO983109 UYK983104:UYK983109 VIG983104:VIG983109 VSC983104:VSC983109 WBY983104:WBY983109 WLU983104:WLU983109 WVQ983104:WVQ983109 F64:F69 JB64:JB69 SX64:SX69 ACT64:ACT69 AMP64:AMP69 AWL64:AWL69 BGH64:BGH69 BQD64:BQD69 BZZ64:BZZ69 CJV64:CJV69 CTR64:CTR69 DDN64:DDN69 DNJ64:DNJ69 DXF64:DXF69 EHB64:EHB69 EQX64:EQX69 FAT64:FAT69 FKP64:FKP69 FUL64:FUL69 GEH64:GEH69 GOD64:GOD69 GXZ64:GXZ69 HHV64:HHV69 HRR64:HRR69 IBN64:IBN69 ILJ64:ILJ69 IVF64:IVF69 JFB64:JFB69 JOX64:JOX69 JYT64:JYT69 KIP64:KIP69 KSL64:KSL69 LCH64:LCH69 LMD64:LMD69 LVZ64:LVZ69 MFV64:MFV69 MPR64:MPR69 MZN64:MZN69 NJJ64:NJJ69 NTF64:NTF69 ODB64:ODB69 OMX64:OMX69 OWT64:OWT69 PGP64:PGP69 PQL64:PQL69 QAH64:QAH69 QKD64:QKD69 QTZ64:QTZ69 RDV64:RDV69 RNR64:RNR69 RXN64:RXN69 SHJ64:SHJ69 SRF64:SRF69 TBB64:TBB69 TKX64:TKX69 TUT64:TUT69 UEP64:UEP69 UOL64:UOL69 UYH64:UYH69 VID64:VID69 VRZ64:VRZ69 WBV64:WBV69 WLR64:WLR69 WVN64:WVN69 F65600:F65605 JB65600:JB65605 SX65600:SX65605 ACT65600:ACT65605 AMP65600:AMP65605 AWL65600:AWL65605 BGH65600:BGH65605 BQD65600:BQD65605 BZZ65600:BZZ65605 CJV65600:CJV65605 CTR65600:CTR65605 DDN65600:DDN65605 DNJ65600:DNJ65605 DXF65600:DXF65605 EHB65600:EHB65605 EQX65600:EQX65605 FAT65600:FAT65605 FKP65600:FKP65605 FUL65600:FUL65605 GEH65600:GEH65605 GOD65600:GOD65605 GXZ65600:GXZ65605 HHV65600:HHV65605 HRR65600:HRR65605 IBN65600:IBN65605 ILJ65600:ILJ65605 IVF65600:IVF65605 JFB65600:JFB65605 JOX65600:JOX65605 JYT65600:JYT65605 KIP65600:KIP65605 KSL65600:KSL65605 LCH65600:LCH65605 LMD65600:LMD65605 LVZ65600:LVZ65605 MFV65600:MFV65605 MPR65600:MPR65605 MZN65600:MZN65605 NJJ65600:NJJ65605 NTF65600:NTF65605 ODB65600:ODB65605 OMX65600:OMX65605 OWT65600:OWT65605 PGP65600:PGP65605 PQL65600:PQL65605 QAH65600:QAH65605 QKD65600:QKD65605 QTZ65600:QTZ65605 RDV65600:RDV65605 RNR65600:RNR65605 RXN65600:RXN65605 SHJ65600:SHJ65605 SRF65600:SRF65605 TBB65600:TBB65605 TKX65600:TKX65605 TUT65600:TUT65605 UEP65600:UEP65605 UOL65600:UOL65605 UYH65600:UYH65605 VID65600:VID65605 VRZ65600:VRZ65605 WBV65600:WBV65605 WLR65600:WLR65605 WVN65600:WVN65605 F131136:F131141 JB131136:JB131141 SX131136:SX131141 ACT131136:ACT131141 AMP131136:AMP131141 AWL131136:AWL131141 BGH131136:BGH131141 BQD131136:BQD131141 BZZ131136:BZZ131141 CJV131136:CJV131141 CTR131136:CTR131141 DDN131136:DDN131141 DNJ131136:DNJ131141 DXF131136:DXF131141 EHB131136:EHB131141 EQX131136:EQX131141 FAT131136:FAT131141 FKP131136:FKP131141 FUL131136:FUL131141 GEH131136:GEH131141 GOD131136:GOD131141 GXZ131136:GXZ131141 HHV131136:HHV131141 HRR131136:HRR131141 IBN131136:IBN131141 ILJ131136:ILJ131141 IVF131136:IVF131141 JFB131136:JFB131141 JOX131136:JOX131141 JYT131136:JYT131141 KIP131136:KIP131141 KSL131136:KSL131141 LCH131136:LCH131141 LMD131136:LMD131141 LVZ131136:LVZ131141 MFV131136:MFV131141 MPR131136:MPR131141 MZN131136:MZN131141 NJJ131136:NJJ131141 NTF131136:NTF131141 ODB131136:ODB131141 OMX131136:OMX131141 OWT131136:OWT131141 PGP131136:PGP131141 PQL131136:PQL131141 QAH131136:QAH131141 QKD131136:QKD131141 QTZ131136:QTZ131141 RDV131136:RDV131141 RNR131136:RNR131141 RXN131136:RXN131141 SHJ131136:SHJ131141 SRF131136:SRF131141 TBB131136:TBB131141 TKX131136:TKX131141 TUT131136:TUT131141 UEP131136:UEP131141 UOL131136:UOL131141 UYH131136:UYH131141 VID131136:VID131141 VRZ131136:VRZ131141 WBV131136:WBV131141 WLR131136:WLR131141 WVN131136:WVN131141 F196672:F196677 JB196672:JB196677 SX196672:SX196677 ACT196672:ACT196677 AMP196672:AMP196677 AWL196672:AWL196677 BGH196672:BGH196677 BQD196672:BQD196677 BZZ196672:BZZ196677 CJV196672:CJV196677 CTR196672:CTR196677 DDN196672:DDN196677 DNJ196672:DNJ196677 DXF196672:DXF196677 EHB196672:EHB196677 EQX196672:EQX196677 FAT196672:FAT196677 FKP196672:FKP196677 FUL196672:FUL196677 GEH196672:GEH196677 GOD196672:GOD196677 GXZ196672:GXZ196677 HHV196672:HHV196677 HRR196672:HRR196677 IBN196672:IBN196677 ILJ196672:ILJ196677 IVF196672:IVF196677 JFB196672:JFB196677 JOX196672:JOX196677 JYT196672:JYT196677 KIP196672:KIP196677 KSL196672:KSL196677 LCH196672:LCH196677 LMD196672:LMD196677 LVZ196672:LVZ196677 MFV196672:MFV196677 MPR196672:MPR196677 MZN196672:MZN196677 NJJ196672:NJJ196677 NTF196672:NTF196677 ODB196672:ODB196677 OMX196672:OMX196677 OWT196672:OWT196677 PGP196672:PGP196677 PQL196672:PQL196677 QAH196672:QAH196677 QKD196672:QKD196677 QTZ196672:QTZ196677 RDV196672:RDV196677 RNR196672:RNR196677 RXN196672:RXN196677 SHJ196672:SHJ196677 SRF196672:SRF196677 TBB196672:TBB196677 TKX196672:TKX196677 TUT196672:TUT196677 UEP196672:UEP196677 UOL196672:UOL196677 UYH196672:UYH196677 VID196672:VID196677 VRZ196672:VRZ196677 WBV196672:WBV196677 WLR196672:WLR196677 WVN196672:WVN196677 F262208:F262213 JB262208:JB262213 SX262208:SX262213 ACT262208:ACT262213 AMP262208:AMP262213 AWL262208:AWL262213 BGH262208:BGH262213 BQD262208:BQD262213 BZZ262208:BZZ262213 CJV262208:CJV262213 CTR262208:CTR262213 DDN262208:DDN262213 DNJ262208:DNJ262213 DXF262208:DXF262213 EHB262208:EHB262213 EQX262208:EQX262213 FAT262208:FAT262213 FKP262208:FKP262213 FUL262208:FUL262213 GEH262208:GEH262213 GOD262208:GOD262213 GXZ262208:GXZ262213 HHV262208:HHV262213 HRR262208:HRR262213 IBN262208:IBN262213 ILJ262208:ILJ262213 IVF262208:IVF262213 JFB262208:JFB262213 JOX262208:JOX262213 JYT262208:JYT262213 KIP262208:KIP262213 KSL262208:KSL262213 LCH262208:LCH262213 LMD262208:LMD262213 LVZ262208:LVZ262213 MFV262208:MFV262213 MPR262208:MPR262213 MZN262208:MZN262213 NJJ262208:NJJ262213 NTF262208:NTF262213 ODB262208:ODB262213 OMX262208:OMX262213 OWT262208:OWT262213 PGP262208:PGP262213 PQL262208:PQL262213 QAH262208:QAH262213 QKD262208:QKD262213 QTZ262208:QTZ262213 RDV262208:RDV262213 RNR262208:RNR262213 RXN262208:RXN262213 SHJ262208:SHJ262213 SRF262208:SRF262213 TBB262208:TBB262213 TKX262208:TKX262213 TUT262208:TUT262213 UEP262208:UEP262213 UOL262208:UOL262213 UYH262208:UYH262213 VID262208:VID262213 VRZ262208:VRZ262213 WBV262208:WBV262213 WLR262208:WLR262213 WVN262208:WVN262213 F327744:F327749 JB327744:JB327749 SX327744:SX327749 ACT327744:ACT327749 AMP327744:AMP327749 AWL327744:AWL327749 BGH327744:BGH327749 BQD327744:BQD327749 BZZ327744:BZZ327749 CJV327744:CJV327749 CTR327744:CTR327749 DDN327744:DDN327749 DNJ327744:DNJ327749 DXF327744:DXF327749 EHB327744:EHB327749 EQX327744:EQX327749 FAT327744:FAT327749 FKP327744:FKP327749 FUL327744:FUL327749 GEH327744:GEH327749 GOD327744:GOD327749 GXZ327744:GXZ327749 HHV327744:HHV327749 HRR327744:HRR327749 IBN327744:IBN327749 ILJ327744:ILJ327749 IVF327744:IVF327749 JFB327744:JFB327749 JOX327744:JOX327749 JYT327744:JYT327749 KIP327744:KIP327749 KSL327744:KSL327749 LCH327744:LCH327749 LMD327744:LMD327749 LVZ327744:LVZ327749 MFV327744:MFV327749 MPR327744:MPR327749 MZN327744:MZN327749 NJJ327744:NJJ327749 NTF327744:NTF327749 ODB327744:ODB327749 OMX327744:OMX327749 OWT327744:OWT327749 PGP327744:PGP327749 PQL327744:PQL327749 QAH327744:QAH327749 QKD327744:QKD327749 QTZ327744:QTZ327749 RDV327744:RDV327749 RNR327744:RNR327749 RXN327744:RXN327749 SHJ327744:SHJ327749 SRF327744:SRF327749 TBB327744:TBB327749 TKX327744:TKX327749 TUT327744:TUT327749 UEP327744:UEP327749 UOL327744:UOL327749 UYH327744:UYH327749 VID327744:VID327749 VRZ327744:VRZ327749 WBV327744:WBV327749 WLR327744:WLR327749 WVN327744:WVN327749 F393280:F393285 JB393280:JB393285 SX393280:SX393285 ACT393280:ACT393285 AMP393280:AMP393285 AWL393280:AWL393285 BGH393280:BGH393285 BQD393280:BQD393285 BZZ393280:BZZ393285 CJV393280:CJV393285 CTR393280:CTR393285 DDN393280:DDN393285 DNJ393280:DNJ393285 DXF393280:DXF393285 EHB393280:EHB393285 EQX393280:EQX393285 FAT393280:FAT393285 FKP393280:FKP393285 FUL393280:FUL393285 GEH393280:GEH393285 GOD393280:GOD393285 GXZ393280:GXZ393285 HHV393280:HHV393285 HRR393280:HRR393285 IBN393280:IBN393285 ILJ393280:ILJ393285 IVF393280:IVF393285 JFB393280:JFB393285 JOX393280:JOX393285 JYT393280:JYT393285 KIP393280:KIP393285 KSL393280:KSL393285 LCH393280:LCH393285 LMD393280:LMD393285 LVZ393280:LVZ393285 MFV393280:MFV393285 MPR393280:MPR393285 MZN393280:MZN393285 NJJ393280:NJJ393285 NTF393280:NTF393285 ODB393280:ODB393285 OMX393280:OMX393285 OWT393280:OWT393285 PGP393280:PGP393285 PQL393280:PQL393285 QAH393280:QAH393285 QKD393280:QKD393285 QTZ393280:QTZ393285 RDV393280:RDV393285 RNR393280:RNR393285 RXN393280:RXN393285 SHJ393280:SHJ393285 SRF393280:SRF393285 TBB393280:TBB393285 TKX393280:TKX393285 TUT393280:TUT393285 UEP393280:UEP393285 UOL393280:UOL393285 UYH393280:UYH393285 VID393280:VID393285 VRZ393280:VRZ393285 WBV393280:WBV393285 WLR393280:WLR393285 WVN393280:WVN393285 F458816:F458821 JB458816:JB458821 SX458816:SX458821 ACT458816:ACT458821 AMP458816:AMP458821 AWL458816:AWL458821 BGH458816:BGH458821 BQD458816:BQD458821 BZZ458816:BZZ458821 CJV458816:CJV458821 CTR458816:CTR458821 DDN458816:DDN458821 DNJ458816:DNJ458821 DXF458816:DXF458821 EHB458816:EHB458821 EQX458816:EQX458821 FAT458816:FAT458821 FKP458816:FKP458821 FUL458816:FUL458821 GEH458816:GEH458821 GOD458816:GOD458821 GXZ458816:GXZ458821 HHV458816:HHV458821 HRR458816:HRR458821 IBN458816:IBN458821 ILJ458816:ILJ458821 IVF458816:IVF458821 JFB458816:JFB458821 JOX458816:JOX458821 JYT458816:JYT458821 KIP458816:KIP458821 KSL458816:KSL458821 LCH458816:LCH458821 LMD458816:LMD458821 LVZ458816:LVZ458821 MFV458816:MFV458821 MPR458816:MPR458821 MZN458816:MZN458821 NJJ458816:NJJ458821 NTF458816:NTF458821 ODB458816:ODB458821 OMX458816:OMX458821 OWT458816:OWT458821 PGP458816:PGP458821 PQL458816:PQL458821 QAH458816:QAH458821 QKD458816:QKD458821 QTZ458816:QTZ458821 RDV458816:RDV458821 RNR458816:RNR458821 RXN458816:RXN458821 SHJ458816:SHJ458821 SRF458816:SRF458821 TBB458816:TBB458821 TKX458816:TKX458821 TUT458816:TUT458821 UEP458816:UEP458821 UOL458816:UOL458821 UYH458816:UYH458821 VID458816:VID458821 VRZ458816:VRZ458821 WBV458816:WBV458821 WLR458816:WLR458821 WVN458816:WVN458821 F524352:F524357 JB524352:JB524357 SX524352:SX524357 ACT524352:ACT524357 AMP524352:AMP524357 AWL524352:AWL524357 BGH524352:BGH524357 BQD524352:BQD524357 BZZ524352:BZZ524357 CJV524352:CJV524357 CTR524352:CTR524357 DDN524352:DDN524357 DNJ524352:DNJ524357 DXF524352:DXF524357 EHB524352:EHB524357 EQX524352:EQX524357 FAT524352:FAT524357 FKP524352:FKP524357 FUL524352:FUL524357 GEH524352:GEH524357 GOD524352:GOD524357 GXZ524352:GXZ524357 HHV524352:HHV524357 HRR524352:HRR524357 IBN524352:IBN524357 ILJ524352:ILJ524357 IVF524352:IVF524357 JFB524352:JFB524357 JOX524352:JOX524357 JYT524352:JYT524357 KIP524352:KIP524357 KSL524352:KSL524357 LCH524352:LCH524357 LMD524352:LMD524357 LVZ524352:LVZ524357 MFV524352:MFV524357 MPR524352:MPR524357 MZN524352:MZN524357 NJJ524352:NJJ524357 NTF524352:NTF524357 ODB524352:ODB524357 OMX524352:OMX524357 OWT524352:OWT524357 PGP524352:PGP524357 PQL524352:PQL524357 QAH524352:QAH524357 QKD524352:QKD524357 QTZ524352:QTZ524357 RDV524352:RDV524357 RNR524352:RNR524357 RXN524352:RXN524357 SHJ524352:SHJ524357 SRF524352:SRF524357 TBB524352:TBB524357 TKX524352:TKX524357 TUT524352:TUT524357 UEP524352:UEP524357 UOL524352:UOL524357 UYH524352:UYH524357 VID524352:VID524357 VRZ524352:VRZ524357 WBV524352:WBV524357 WLR524352:WLR524357 WVN524352:WVN524357 F589888:F589893 JB589888:JB589893 SX589888:SX589893 ACT589888:ACT589893 AMP589888:AMP589893 AWL589888:AWL589893 BGH589888:BGH589893 BQD589888:BQD589893 BZZ589888:BZZ589893 CJV589888:CJV589893 CTR589888:CTR589893 DDN589888:DDN589893 DNJ589888:DNJ589893 DXF589888:DXF589893 EHB589888:EHB589893 EQX589888:EQX589893 FAT589888:FAT589893 FKP589888:FKP589893 FUL589888:FUL589893 GEH589888:GEH589893 GOD589888:GOD589893 GXZ589888:GXZ589893 HHV589888:HHV589893 HRR589888:HRR589893 IBN589888:IBN589893 ILJ589888:ILJ589893 IVF589888:IVF589893 JFB589888:JFB589893 JOX589888:JOX589893 JYT589888:JYT589893 KIP589888:KIP589893 KSL589888:KSL589893 LCH589888:LCH589893 LMD589888:LMD589893 LVZ589888:LVZ589893 MFV589888:MFV589893 MPR589888:MPR589893 MZN589888:MZN589893 NJJ589888:NJJ589893 NTF589888:NTF589893 ODB589888:ODB589893 OMX589888:OMX589893 OWT589888:OWT589893 PGP589888:PGP589893 PQL589888:PQL589893 QAH589888:QAH589893 QKD589888:QKD589893 QTZ589888:QTZ589893 RDV589888:RDV589893 RNR589888:RNR589893 RXN589888:RXN589893 SHJ589888:SHJ589893 SRF589888:SRF589893 TBB589888:TBB589893 TKX589888:TKX589893 TUT589888:TUT589893 UEP589888:UEP589893 UOL589888:UOL589893 UYH589888:UYH589893 VID589888:VID589893 VRZ589888:VRZ589893 WBV589888:WBV589893 WLR589888:WLR589893 WVN589888:WVN589893 F655424:F655429 JB655424:JB655429 SX655424:SX655429 ACT655424:ACT655429 AMP655424:AMP655429 AWL655424:AWL655429 BGH655424:BGH655429 BQD655424:BQD655429 BZZ655424:BZZ655429 CJV655424:CJV655429 CTR655424:CTR655429 DDN655424:DDN655429 DNJ655424:DNJ655429 DXF655424:DXF655429 EHB655424:EHB655429 EQX655424:EQX655429 FAT655424:FAT655429 FKP655424:FKP655429 FUL655424:FUL655429 GEH655424:GEH655429 GOD655424:GOD655429 GXZ655424:GXZ655429 HHV655424:HHV655429 HRR655424:HRR655429 IBN655424:IBN655429 ILJ655424:ILJ655429 IVF655424:IVF655429 JFB655424:JFB655429 JOX655424:JOX655429 JYT655424:JYT655429 KIP655424:KIP655429 KSL655424:KSL655429 LCH655424:LCH655429 LMD655424:LMD655429 LVZ655424:LVZ655429 MFV655424:MFV655429 MPR655424:MPR655429 MZN655424:MZN655429 NJJ655424:NJJ655429 NTF655424:NTF655429 ODB655424:ODB655429 OMX655424:OMX655429 OWT655424:OWT655429 PGP655424:PGP655429 PQL655424:PQL655429 QAH655424:QAH655429 QKD655424:QKD655429 QTZ655424:QTZ655429 RDV655424:RDV655429 RNR655424:RNR655429 RXN655424:RXN655429 SHJ655424:SHJ655429 SRF655424:SRF655429 TBB655424:TBB655429 TKX655424:TKX655429 TUT655424:TUT655429 UEP655424:UEP655429 UOL655424:UOL655429 UYH655424:UYH655429 VID655424:VID655429 VRZ655424:VRZ655429 WBV655424:WBV655429 WLR655424:WLR655429 WVN655424:WVN655429 F720960:F720965 JB720960:JB720965 SX720960:SX720965 ACT720960:ACT720965 AMP720960:AMP720965 AWL720960:AWL720965 BGH720960:BGH720965 BQD720960:BQD720965 BZZ720960:BZZ720965 CJV720960:CJV720965 CTR720960:CTR720965 DDN720960:DDN720965 DNJ720960:DNJ720965 DXF720960:DXF720965 EHB720960:EHB720965 EQX720960:EQX720965 FAT720960:FAT720965 FKP720960:FKP720965 FUL720960:FUL720965 GEH720960:GEH720965 GOD720960:GOD720965 GXZ720960:GXZ720965 HHV720960:HHV720965 HRR720960:HRR720965 IBN720960:IBN720965 ILJ720960:ILJ720965 IVF720960:IVF720965 JFB720960:JFB720965 JOX720960:JOX720965 JYT720960:JYT720965 KIP720960:KIP720965 KSL720960:KSL720965 LCH720960:LCH720965 LMD720960:LMD720965 LVZ720960:LVZ720965 MFV720960:MFV720965 MPR720960:MPR720965 MZN720960:MZN720965 NJJ720960:NJJ720965 NTF720960:NTF720965 ODB720960:ODB720965 OMX720960:OMX720965 OWT720960:OWT720965 PGP720960:PGP720965 PQL720960:PQL720965 QAH720960:QAH720965 QKD720960:QKD720965 QTZ720960:QTZ720965 RDV720960:RDV720965 RNR720960:RNR720965 RXN720960:RXN720965 SHJ720960:SHJ720965 SRF720960:SRF720965 TBB720960:TBB720965 TKX720960:TKX720965 TUT720960:TUT720965 UEP720960:UEP720965 UOL720960:UOL720965 UYH720960:UYH720965 VID720960:VID720965 VRZ720960:VRZ720965 WBV720960:WBV720965 WLR720960:WLR720965 WVN720960:WVN720965 F786496:F786501 JB786496:JB786501 SX786496:SX786501 ACT786496:ACT786501 AMP786496:AMP786501 AWL786496:AWL786501 BGH786496:BGH786501 BQD786496:BQD786501 BZZ786496:BZZ786501 CJV786496:CJV786501 CTR786496:CTR786501 DDN786496:DDN786501 DNJ786496:DNJ786501 DXF786496:DXF786501 EHB786496:EHB786501 EQX786496:EQX786501 FAT786496:FAT786501 FKP786496:FKP786501 FUL786496:FUL786501 GEH786496:GEH786501 GOD786496:GOD786501 GXZ786496:GXZ786501 HHV786496:HHV786501 HRR786496:HRR786501 IBN786496:IBN786501 ILJ786496:ILJ786501 IVF786496:IVF786501 JFB786496:JFB786501 JOX786496:JOX786501 JYT786496:JYT786501 KIP786496:KIP786501 KSL786496:KSL786501 LCH786496:LCH786501 LMD786496:LMD786501 LVZ786496:LVZ786501 MFV786496:MFV786501 MPR786496:MPR786501 MZN786496:MZN786501 NJJ786496:NJJ786501 NTF786496:NTF786501 ODB786496:ODB786501 OMX786496:OMX786501 OWT786496:OWT786501 PGP786496:PGP786501 PQL786496:PQL786501 QAH786496:QAH786501 QKD786496:QKD786501 QTZ786496:QTZ786501 RDV786496:RDV786501 RNR786496:RNR786501 RXN786496:RXN786501 SHJ786496:SHJ786501 SRF786496:SRF786501 TBB786496:TBB786501 TKX786496:TKX786501 TUT786496:TUT786501 UEP786496:UEP786501 UOL786496:UOL786501 UYH786496:UYH786501 VID786496:VID786501 VRZ786496:VRZ786501 WBV786496:WBV786501 WLR786496:WLR786501 WVN786496:WVN786501 F852032:F852037 JB852032:JB852037 SX852032:SX852037 ACT852032:ACT852037 AMP852032:AMP852037 AWL852032:AWL852037 BGH852032:BGH852037 BQD852032:BQD852037 BZZ852032:BZZ852037 CJV852032:CJV852037 CTR852032:CTR852037 DDN852032:DDN852037 DNJ852032:DNJ852037 DXF852032:DXF852037 EHB852032:EHB852037 EQX852032:EQX852037 FAT852032:FAT852037 FKP852032:FKP852037 FUL852032:FUL852037 GEH852032:GEH852037 GOD852032:GOD852037 GXZ852032:GXZ852037 HHV852032:HHV852037 HRR852032:HRR852037 IBN852032:IBN852037 ILJ852032:ILJ852037 IVF852032:IVF852037 JFB852032:JFB852037 JOX852032:JOX852037 JYT852032:JYT852037 KIP852032:KIP852037 KSL852032:KSL852037 LCH852032:LCH852037 LMD852032:LMD852037 LVZ852032:LVZ852037 MFV852032:MFV852037 MPR852032:MPR852037 MZN852032:MZN852037 NJJ852032:NJJ852037 NTF852032:NTF852037 ODB852032:ODB852037 OMX852032:OMX852037 OWT852032:OWT852037 PGP852032:PGP852037 PQL852032:PQL852037 QAH852032:QAH852037 QKD852032:QKD852037 QTZ852032:QTZ852037 RDV852032:RDV852037 RNR852032:RNR852037 RXN852032:RXN852037 SHJ852032:SHJ852037 SRF852032:SRF852037 TBB852032:TBB852037 TKX852032:TKX852037 TUT852032:TUT852037 UEP852032:UEP852037 UOL852032:UOL852037 UYH852032:UYH852037 VID852032:VID852037 VRZ852032:VRZ852037 WBV852032:WBV852037 WLR852032:WLR852037 WVN852032:WVN852037 F917568:F917573 JB917568:JB917573 SX917568:SX917573 ACT917568:ACT917573 AMP917568:AMP917573 AWL917568:AWL917573 BGH917568:BGH917573 BQD917568:BQD917573 BZZ917568:BZZ917573 CJV917568:CJV917573 CTR917568:CTR917573 DDN917568:DDN917573 DNJ917568:DNJ917573 DXF917568:DXF917573 EHB917568:EHB917573 EQX917568:EQX917573 FAT917568:FAT917573 FKP917568:FKP917573 FUL917568:FUL917573 GEH917568:GEH917573 GOD917568:GOD917573 GXZ917568:GXZ917573 HHV917568:HHV917573 HRR917568:HRR917573 IBN917568:IBN917573 ILJ917568:ILJ917573 IVF917568:IVF917573 JFB917568:JFB917573 JOX917568:JOX917573 JYT917568:JYT917573 KIP917568:KIP917573 KSL917568:KSL917573 LCH917568:LCH917573 LMD917568:LMD917573 LVZ917568:LVZ917573 MFV917568:MFV917573 MPR917568:MPR917573 MZN917568:MZN917573 NJJ917568:NJJ917573 NTF917568:NTF917573 ODB917568:ODB917573 OMX917568:OMX917573 OWT917568:OWT917573 PGP917568:PGP917573 PQL917568:PQL917573 QAH917568:QAH917573 QKD917568:QKD917573 QTZ917568:QTZ917573 RDV917568:RDV917573 RNR917568:RNR917573 RXN917568:RXN917573 SHJ917568:SHJ917573 SRF917568:SRF917573 TBB917568:TBB917573 TKX917568:TKX917573 TUT917568:TUT917573 UEP917568:UEP917573 UOL917568:UOL917573 UYH917568:UYH917573 VID917568:VID917573 VRZ917568:VRZ917573 WBV917568:WBV917573 WLR917568:WLR917573 WVN917568:WVN917573 F983104:F983109 JB983104:JB983109 SX983104:SX983109 ACT983104:ACT983109 AMP983104:AMP983109 AWL983104:AWL983109 BGH983104:BGH983109 BQD983104:BQD983109 BZZ983104:BZZ983109 CJV983104:CJV983109 CTR983104:CTR983109 DDN983104:DDN983109 DNJ983104:DNJ983109 DXF983104:DXF983109 EHB983104:EHB983109 EQX983104:EQX983109 FAT983104:FAT983109 FKP983104:FKP983109 FUL983104:FUL983109 GEH983104:GEH983109 GOD983104:GOD983109 GXZ983104:GXZ983109 HHV983104:HHV983109 HRR983104:HRR983109 IBN983104:IBN983109 ILJ983104:ILJ983109 IVF983104:IVF983109 JFB983104:JFB983109 JOX983104:JOX983109 JYT983104:JYT983109 KIP983104:KIP983109 KSL983104:KSL983109 LCH983104:LCH983109 LMD983104:LMD983109 LVZ983104:LVZ983109 MFV983104:MFV983109 MPR983104:MPR983109 MZN983104:MZN983109 NJJ983104:NJJ983109 NTF983104:NTF983109 ODB983104:ODB983109 OMX983104:OMX983109 OWT983104:OWT983109 PGP983104:PGP983109 PQL983104:PQL983109 QAH983104:QAH983109 QKD983104:QKD983109 QTZ983104:QTZ983109 RDV983104:RDV983109 RNR983104:RNR983109 RXN983104:RXN983109 SHJ983104:SHJ983109 SRF983104:SRF983109 TBB983104:TBB983109 TKX983104:TKX983109 TUT983104:TUT983109 UEP983104:UEP983109 UOL983104:UOL983109 UYH983104:UYH983109 VID983104:VID983109 VRZ983104:VRZ983109 WBV983104:WBV983109 WLR983104:WLR983109 WVN983104:WVN983109 I56:I61 JE56:JE61 TA56:TA61 ACW56:ACW61 AMS56:AMS61 AWO56:AWO61 BGK56:BGK61 BQG56:BQG61 CAC56:CAC61 CJY56:CJY61 CTU56:CTU61 DDQ56:DDQ61 DNM56:DNM61 DXI56:DXI61 EHE56:EHE61 ERA56:ERA61 FAW56:FAW61 FKS56:FKS61 FUO56:FUO61 GEK56:GEK61 GOG56:GOG61 GYC56:GYC61 HHY56:HHY61 HRU56:HRU61 IBQ56:IBQ61 ILM56:ILM61 IVI56:IVI61 JFE56:JFE61 JPA56:JPA61 JYW56:JYW61 KIS56:KIS61 KSO56:KSO61 LCK56:LCK61 LMG56:LMG61 LWC56:LWC61 MFY56:MFY61 MPU56:MPU61 MZQ56:MZQ61 NJM56:NJM61 NTI56:NTI61 ODE56:ODE61 ONA56:ONA61 OWW56:OWW61 PGS56:PGS61 PQO56:PQO61 QAK56:QAK61 QKG56:QKG61 QUC56:QUC61 RDY56:RDY61 RNU56:RNU61 RXQ56:RXQ61 SHM56:SHM61 SRI56:SRI61 TBE56:TBE61 TLA56:TLA61 TUW56:TUW61 UES56:UES61 UOO56:UOO61 UYK56:UYK61 VIG56:VIG61 VSC56:VSC61 WBY56:WBY61 WLU56:WLU61 WVQ56:WVQ61 I65592:I65597 JE65592:JE65597 TA65592:TA65597 ACW65592:ACW65597 AMS65592:AMS65597 AWO65592:AWO65597 BGK65592:BGK65597 BQG65592:BQG65597 CAC65592:CAC65597 CJY65592:CJY65597 CTU65592:CTU65597 DDQ65592:DDQ65597 DNM65592:DNM65597 DXI65592:DXI65597 EHE65592:EHE65597 ERA65592:ERA65597 FAW65592:FAW65597 FKS65592:FKS65597 FUO65592:FUO65597 GEK65592:GEK65597 GOG65592:GOG65597 GYC65592:GYC65597 HHY65592:HHY65597 HRU65592:HRU65597 IBQ65592:IBQ65597 ILM65592:ILM65597 IVI65592:IVI65597 JFE65592:JFE65597 JPA65592:JPA65597 JYW65592:JYW65597 KIS65592:KIS65597 KSO65592:KSO65597 LCK65592:LCK65597 LMG65592:LMG65597 LWC65592:LWC65597 MFY65592:MFY65597 MPU65592:MPU65597 MZQ65592:MZQ65597 NJM65592:NJM65597 NTI65592:NTI65597 ODE65592:ODE65597 ONA65592:ONA65597 OWW65592:OWW65597 PGS65592:PGS65597 PQO65592:PQO65597 QAK65592:QAK65597 QKG65592:QKG65597 QUC65592:QUC65597 RDY65592:RDY65597 RNU65592:RNU65597 RXQ65592:RXQ65597 SHM65592:SHM65597 SRI65592:SRI65597 TBE65592:TBE65597 TLA65592:TLA65597 TUW65592:TUW65597 UES65592:UES65597 UOO65592:UOO65597 UYK65592:UYK65597 VIG65592:VIG65597 VSC65592:VSC65597 WBY65592:WBY65597 WLU65592:WLU65597 WVQ65592:WVQ65597 I131128:I131133 JE131128:JE131133 TA131128:TA131133 ACW131128:ACW131133 AMS131128:AMS131133 AWO131128:AWO131133 BGK131128:BGK131133 BQG131128:BQG131133 CAC131128:CAC131133 CJY131128:CJY131133 CTU131128:CTU131133 DDQ131128:DDQ131133 DNM131128:DNM131133 DXI131128:DXI131133 EHE131128:EHE131133 ERA131128:ERA131133 FAW131128:FAW131133 FKS131128:FKS131133 FUO131128:FUO131133 GEK131128:GEK131133 GOG131128:GOG131133 GYC131128:GYC131133 HHY131128:HHY131133 HRU131128:HRU131133 IBQ131128:IBQ131133 ILM131128:ILM131133 IVI131128:IVI131133 JFE131128:JFE131133 JPA131128:JPA131133 JYW131128:JYW131133 KIS131128:KIS131133 KSO131128:KSO131133 LCK131128:LCK131133 LMG131128:LMG131133 LWC131128:LWC131133 MFY131128:MFY131133 MPU131128:MPU131133 MZQ131128:MZQ131133 NJM131128:NJM131133 NTI131128:NTI131133 ODE131128:ODE131133 ONA131128:ONA131133 OWW131128:OWW131133 PGS131128:PGS131133 PQO131128:PQO131133 QAK131128:QAK131133 QKG131128:QKG131133 QUC131128:QUC131133 RDY131128:RDY131133 RNU131128:RNU131133 RXQ131128:RXQ131133 SHM131128:SHM131133 SRI131128:SRI131133 TBE131128:TBE131133 TLA131128:TLA131133 TUW131128:TUW131133 UES131128:UES131133 UOO131128:UOO131133 UYK131128:UYK131133 VIG131128:VIG131133 VSC131128:VSC131133 WBY131128:WBY131133 WLU131128:WLU131133 WVQ131128:WVQ131133 I196664:I196669 JE196664:JE196669 TA196664:TA196669 ACW196664:ACW196669 AMS196664:AMS196669 AWO196664:AWO196669 BGK196664:BGK196669 BQG196664:BQG196669 CAC196664:CAC196669 CJY196664:CJY196669 CTU196664:CTU196669 DDQ196664:DDQ196669 DNM196664:DNM196669 DXI196664:DXI196669 EHE196664:EHE196669 ERA196664:ERA196669 FAW196664:FAW196669 FKS196664:FKS196669 FUO196664:FUO196669 GEK196664:GEK196669 GOG196664:GOG196669 GYC196664:GYC196669 HHY196664:HHY196669 HRU196664:HRU196669 IBQ196664:IBQ196669 ILM196664:ILM196669 IVI196664:IVI196669 JFE196664:JFE196669 JPA196664:JPA196669 JYW196664:JYW196669 KIS196664:KIS196669 KSO196664:KSO196669 LCK196664:LCK196669 LMG196664:LMG196669 LWC196664:LWC196669 MFY196664:MFY196669 MPU196664:MPU196669 MZQ196664:MZQ196669 NJM196664:NJM196669 NTI196664:NTI196669 ODE196664:ODE196669 ONA196664:ONA196669 OWW196664:OWW196669 PGS196664:PGS196669 PQO196664:PQO196669 QAK196664:QAK196669 QKG196664:QKG196669 QUC196664:QUC196669 RDY196664:RDY196669 RNU196664:RNU196669 RXQ196664:RXQ196669 SHM196664:SHM196669 SRI196664:SRI196669 TBE196664:TBE196669 TLA196664:TLA196669 TUW196664:TUW196669 UES196664:UES196669 UOO196664:UOO196669 UYK196664:UYK196669 VIG196664:VIG196669 VSC196664:VSC196669 WBY196664:WBY196669 WLU196664:WLU196669 WVQ196664:WVQ196669 I262200:I262205 JE262200:JE262205 TA262200:TA262205 ACW262200:ACW262205 AMS262200:AMS262205 AWO262200:AWO262205 BGK262200:BGK262205 BQG262200:BQG262205 CAC262200:CAC262205 CJY262200:CJY262205 CTU262200:CTU262205 DDQ262200:DDQ262205 DNM262200:DNM262205 DXI262200:DXI262205 EHE262200:EHE262205 ERA262200:ERA262205 FAW262200:FAW262205 FKS262200:FKS262205 FUO262200:FUO262205 GEK262200:GEK262205 GOG262200:GOG262205 GYC262200:GYC262205 HHY262200:HHY262205 HRU262200:HRU262205 IBQ262200:IBQ262205 ILM262200:ILM262205 IVI262200:IVI262205 JFE262200:JFE262205 JPA262200:JPA262205 JYW262200:JYW262205 KIS262200:KIS262205 KSO262200:KSO262205 LCK262200:LCK262205 LMG262200:LMG262205 LWC262200:LWC262205 MFY262200:MFY262205 MPU262200:MPU262205 MZQ262200:MZQ262205 NJM262200:NJM262205 NTI262200:NTI262205 ODE262200:ODE262205 ONA262200:ONA262205 OWW262200:OWW262205 PGS262200:PGS262205 PQO262200:PQO262205 QAK262200:QAK262205 QKG262200:QKG262205 QUC262200:QUC262205 RDY262200:RDY262205 RNU262200:RNU262205 RXQ262200:RXQ262205 SHM262200:SHM262205 SRI262200:SRI262205 TBE262200:TBE262205 TLA262200:TLA262205 TUW262200:TUW262205 UES262200:UES262205 UOO262200:UOO262205 UYK262200:UYK262205 VIG262200:VIG262205 VSC262200:VSC262205 WBY262200:WBY262205 WLU262200:WLU262205 WVQ262200:WVQ262205 I327736:I327741 JE327736:JE327741 TA327736:TA327741 ACW327736:ACW327741 AMS327736:AMS327741 AWO327736:AWO327741 BGK327736:BGK327741 BQG327736:BQG327741 CAC327736:CAC327741 CJY327736:CJY327741 CTU327736:CTU327741 DDQ327736:DDQ327741 DNM327736:DNM327741 DXI327736:DXI327741 EHE327736:EHE327741 ERA327736:ERA327741 FAW327736:FAW327741 FKS327736:FKS327741 FUO327736:FUO327741 GEK327736:GEK327741 GOG327736:GOG327741 GYC327736:GYC327741 HHY327736:HHY327741 HRU327736:HRU327741 IBQ327736:IBQ327741 ILM327736:ILM327741 IVI327736:IVI327741 JFE327736:JFE327741 JPA327736:JPA327741 JYW327736:JYW327741 KIS327736:KIS327741 KSO327736:KSO327741 LCK327736:LCK327741 LMG327736:LMG327741 LWC327736:LWC327741 MFY327736:MFY327741 MPU327736:MPU327741 MZQ327736:MZQ327741 NJM327736:NJM327741 NTI327736:NTI327741 ODE327736:ODE327741 ONA327736:ONA327741 OWW327736:OWW327741 PGS327736:PGS327741 PQO327736:PQO327741 QAK327736:QAK327741 QKG327736:QKG327741 QUC327736:QUC327741 RDY327736:RDY327741 RNU327736:RNU327741 RXQ327736:RXQ327741 SHM327736:SHM327741 SRI327736:SRI327741 TBE327736:TBE327741 TLA327736:TLA327741 TUW327736:TUW327741 UES327736:UES327741 UOO327736:UOO327741 UYK327736:UYK327741 VIG327736:VIG327741 VSC327736:VSC327741 WBY327736:WBY327741 WLU327736:WLU327741 WVQ327736:WVQ327741 I393272:I393277 JE393272:JE393277 TA393272:TA393277 ACW393272:ACW393277 AMS393272:AMS393277 AWO393272:AWO393277 BGK393272:BGK393277 BQG393272:BQG393277 CAC393272:CAC393277 CJY393272:CJY393277 CTU393272:CTU393277 DDQ393272:DDQ393277 DNM393272:DNM393277 DXI393272:DXI393277 EHE393272:EHE393277 ERA393272:ERA393277 FAW393272:FAW393277 FKS393272:FKS393277 FUO393272:FUO393277 GEK393272:GEK393277 GOG393272:GOG393277 GYC393272:GYC393277 HHY393272:HHY393277 HRU393272:HRU393277 IBQ393272:IBQ393277 ILM393272:ILM393277 IVI393272:IVI393277 JFE393272:JFE393277 JPA393272:JPA393277 JYW393272:JYW393277 KIS393272:KIS393277 KSO393272:KSO393277 LCK393272:LCK393277 LMG393272:LMG393277 LWC393272:LWC393277 MFY393272:MFY393277 MPU393272:MPU393277 MZQ393272:MZQ393277 NJM393272:NJM393277 NTI393272:NTI393277 ODE393272:ODE393277 ONA393272:ONA393277 OWW393272:OWW393277 PGS393272:PGS393277 PQO393272:PQO393277 QAK393272:QAK393277 QKG393272:QKG393277 QUC393272:QUC393277 RDY393272:RDY393277 RNU393272:RNU393277 RXQ393272:RXQ393277 SHM393272:SHM393277 SRI393272:SRI393277 TBE393272:TBE393277 TLA393272:TLA393277 TUW393272:TUW393277 UES393272:UES393277 UOO393272:UOO393277 UYK393272:UYK393277 VIG393272:VIG393277 VSC393272:VSC393277 WBY393272:WBY393277 WLU393272:WLU393277 WVQ393272:WVQ393277 I458808:I458813 JE458808:JE458813 TA458808:TA458813 ACW458808:ACW458813 AMS458808:AMS458813 AWO458808:AWO458813 BGK458808:BGK458813 BQG458808:BQG458813 CAC458808:CAC458813 CJY458808:CJY458813 CTU458808:CTU458813 DDQ458808:DDQ458813 DNM458808:DNM458813 DXI458808:DXI458813 EHE458808:EHE458813 ERA458808:ERA458813 FAW458808:FAW458813 FKS458808:FKS458813 FUO458808:FUO458813 GEK458808:GEK458813 GOG458808:GOG458813 GYC458808:GYC458813 HHY458808:HHY458813 HRU458808:HRU458813 IBQ458808:IBQ458813 ILM458808:ILM458813 IVI458808:IVI458813 JFE458808:JFE458813 JPA458808:JPA458813 JYW458808:JYW458813 KIS458808:KIS458813 KSO458808:KSO458813 LCK458808:LCK458813 LMG458808:LMG458813 LWC458808:LWC458813 MFY458808:MFY458813 MPU458808:MPU458813 MZQ458808:MZQ458813 NJM458808:NJM458813 NTI458808:NTI458813 ODE458808:ODE458813 ONA458808:ONA458813 OWW458808:OWW458813 PGS458808:PGS458813 PQO458808:PQO458813 QAK458808:QAK458813 QKG458808:QKG458813 QUC458808:QUC458813 RDY458808:RDY458813 RNU458808:RNU458813 RXQ458808:RXQ458813 SHM458808:SHM458813 SRI458808:SRI458813 TBE458808:TBE458813 TLA458808:TLA458813 TUW458808:TUW458813 UES458808:UES458813 UOO458808:UOO458813 UYK458808:UYK458813 VIG458808:VIG458813 VSC458808:VSC458813 WBY458808:WBY458813 WLU458808:WLU458813 WVQ458808:WVQ458813 I524344:I524349 JE524344:JE524349 TA524344:TA524349 ACW524344:ACW524349 AMS524344:AMS524349 AWO524344:AWO524349 BGK524344:BGK524349 BQG524344:BQG524349 CAC524344:CAC524349 CJY524344:CJY524349 CTU524344:CTU524349 DDQ524344:DDQ524349 DNM524344:DNM524349 DXI524344:DXI524349 EHE524344:EHE524349 ERA524344:ERA524349 FAW524344:FAW524349 FKS524344:FKS524349 FUO524344:FUO524349 GEK524344:GEK524349 GOG524344:GOG524349 GYC524344:GYC524349 HHY524344:HHY524349 HRU524344:HRU524349 IBQ524344:IBQ524349 ILM524344:ILM524349 IVI524344:IVI524349 JFE524344:JFE524349 JPA524344:JPA524349 JYW524344:JYW524349 KIS524344:KIS524349 KSO524344:KSO524349 LCK524344:LCK524349 LMG524344:LMG524349 LWC524344:LWC524349 MFY524344:MFY524349 MPU524344:MPU524349 MZQ524344:MZQ524349 NJM524344:NJM524349 NTI524344:NTI524349 ODE524344:ODE524349 ONA524344:ONA524349 OWW524344:OWW524349 PGS524344:PGS524349 PQO524344:PQO524349 QAK524344:QAK524349 QKG524344:QKG524349 QUC524344:QUC524349 RDY524344:RDY524349 RNU524344:RNU524349 RXQ524344:RXQ524349 SHM524344:SHM524349 SRI524344:SRI524349 TBE524344:TBE524349 TLA524344:TLA524349 TUW524344:TUW524349 UES524344:UES524349 UOO524344:UOO524349 UYK524344:UYK524349 VIG524344:VIG524349 VSC524344:VSC524349 WBY524344:WBY524349 WLU524344:WLU524349 WVQ524344:WVQ524349 I589880:I589885 JE589880:JE589885 TA589880:TA589885 ACW589880:ACW589885 AMS589880:AMS589885 AWO589880:AWO589885 BGK589880:BGK589885 BQG589880:BQG589885 CAC589880:CAC589885 CJY589880:CJY589885 CTU589880:CTU589885 DDQ589880:DDQ589885 DNM589880:DNM589885 DXI589880:DXI589885 EHE589880:EHE589885 ERA589880:ERA589885 FAW589880:FAW589885 FKS589880:FKS589885 FUO589880:FUO589885 GEK589880:GEK589885 GOG589880:GOG589885 GYC589880:GYC589885 HHY589880:HHY589885 HRU589880:HRU589885 IBQ589880:IBQ589885 ILM589880:ILM589885 IVI589880:IVI589885 JFE589880:JFE589885 JPA589880:JPA589885 JYW589880:JYW589885 KIS589880:KIS589885 KSO589880:KSO589885 LCK589880:LCK589885 LMG589880:LMG589885 LWC589880:LWC589885 MFY589880:MFY589885 MPU589880:MPU589885 MZQ589880:MZQ589885 NJM589880:NJM589885 NTI589880:NTI589885 ODE589880:ODE589885 ONA589880:ONA589885 OWW589880:OWW589885 PGS589880:PGS589885 PQO589880:PQO589885 QAK589880:QAK589885 QKG589880:QKG589885 QUC589880:QUC589885 RDY589880:RDY589885 RNU589880:RNU589885 RXQ589880:RXQ589885 SHM589880:SHM589885 SRI589880:SRI589885 TBE589880:TBE589885 TLA589880:TLA589885 TUW589880:TUW589885 UES589880:UES589885 UOO589880:UOO589885 UYK589880:UYK589885 VIG589880:VIG589885 VSC589880:VSC589885 WBY589880:WBY589885 WLU589880:WLU589885 WVQ589880:WVQ589885 I655416:I655421 JE655416:JE655421 TA655416:TA655421 ACW655416:ACW655421 AMS655416:AMS655421 AWO655416:AWO655421 BGK655416:BGK655421 BQG655416:BQG655421 CAC655416:CAC655421 CJY655416:CJY655421 CTU655416:CTU655421 DDQ655416:DDQ655421 DNM655416:DNM655421 DXI655416:DXI655421 EHE655416:EHE655421 ERA655416:ERA655421 FAW655416:FAW655421 FKS655416:FKS655421 FUO655416:FUO655421 GEK655416:GEK655421 GOG655416:GOG655421 GYC655416:GYC655421 HHY655416:HHY655421 HRU655416:HRU655421 IBQ655416:IBQ655421 ILM655416:ILM655421 IVI655416:IVI655421 JFE655416:JFE655421 JPA655416:JPA655421 JYW655416:JYW655421 KIS655416:KIS655421 KSO655416:KSO655421 LCK655416:LCK655421 LMG655416:LMG655421 LWC655416:LWC655421 MFY655416:MFY655421 MPU655416:MPU655421 MZQ655416:MZQ655421 NJM655416:NJM655421 NTI655416:NTI655421 ODE655416:ODE655421 ONA655416:ONA655421 OWW655416:OWW655421 PGS655416:PGS655421 PQO655416:PQO655421 QAK655416:QAK655421 QKG655416:QKG655421 QUC655416:QUC655421 RDY655416:RDY655421 RNU655416:RNU655421 RXQ655416:RXQ655421 SHM655416:SHM655421 SRI655416:SRI655421 TBE655416:TBE655421 TLA655416:TLA655421 TUW655416:TUW655421 UES655416:UES655421 UOO655416:UOO655421 UYK655416:UYK655421 VIG655416:VIG655421 VSC655416:VSC655421 WBY655416:WBY655421 WLU655416:WLU655421 WVQ655416:WVQ655421 I720952:I720957 JE720952:JE720957 TA720952:TA720957 ACW720952:ACW720957 AMS720952:AMS720957 AWO720952:AWO720957 BGK720952:BGK720957 BQG720952:BQG720957 CAC720952:CAC720957 CJY720952:CJY720957 CTU720952:CTU720957 DDQ720952:DDQ720957 DNM720952:DNM720957 DXI720952:DXI720957 EHE720952:EHE720957 ERA720952:ERA720957 FAW720952:FAW720957 FKS720952:FKS720957 FUO720952:FUO720957 GEK720952:GEK720957 GOG720952:GOG720957 GYC720952:GYC720957 HHY720952:HHY720957 HRU720952:HRU720957 IBQ720952:IBQ720957 ILM720952:ILM720957 IVI720952:IVI720957 JFE720952:JFE720957 JPA720952:JPA720957 JYW720952:JYW720957 KIS720952:KIS720957 KSO720952:KSO720957 LCK720952:LCK720957 LMG720952:LMG720957 LWC720952:LWC720957 MFY720952:MFY720957 MPU720952:MPU720957 MZQ720952:MZQ720957 NJM720952:NJM720957 NTI720952:NTI720957 ODE720952:ODE720957 ONA720952:ONA720957 OWW720952:OWW720957 PGS720952:PGS720957 PQO720952:PQO720957 QAK720952:QAK720957 QKG720952:QKG720957 QUC720952:QUC720957 RDY720952:RDY720957 RNU720952:RNU720957 RXQ720952:RXQ720957 SHM720952:SHM720957 SRI720952:SRI720957 TBE720952:TBE720957 TLA720952:TLA720957 TUW720952:TUW720957 UES720952:UES720957 UOO720952:UOO720957 UYK720952:UYK720957 VIG720952:VIG720957 VSC720952:VSC720957 WBY720952:WBY720957 WLU720952:WLU720957 WVQ720952:WVQ720957 I786488:I786493 JE786488:JE786493 TA786488:TA786493 ACW786488:ACW786493 AMS786488:AMS786493 AWO786488:AWO786493 BGK786488:BGK786493 BQG786488:BQG786493 CAC786488:CAC786493 CJY786488:CJY786493 CTU786488:CTU786493 DDQ786488:DDQ786493 DNM786488:DNM786493 DXI786488:DXI786493 EHE786488:EHE786493 ERA786488:ERA786493 FAW786488:FAW786493 FKS786488:FKS786493 FUO786488:FUO786493 GEK786488:GEK786493 GOG786488:GOG786493 GYC786488:GYC786493 HHY786488:HHY786493 HRU786488:HRU786493 IBQ786488:IBQ786493 ILM786488:ILM786493 IVI786488:IVI786493 JFE786488:JFE786493 JPA786488:JPA786493 JYW786488:JYW786493 KIS786488:KIS786493 KSO786488:KSO786493 LCK786488:LCK786493 LMG786488:LMG786493 LWC786488:LWC786493 MFY786488:MFY786493 MPU786488:MPU786493 MZQ786488:MZQ786493 NJM786488:NJM786493 NTI786488:NTI786493 ODE786488:ODE786493 ONA786488:ONA786493 OWW786488:OWW786493 PGS786488:PGS786493 PQO786488:PQO786493 QAK786488:QAK786493 QKG786488:QKG786493 QUC786488:QUC786493 RDY786488:RDY786493 RNU786488:RNU786493 RXQ786488:RXQ786493 SHM786488:SHM786493 SRI786488:SRI786493 TBE786488:TBE786493 TLA786488:TLA786493 TUW786488:TUW786493 UES786488:UES786493 UOO786488:UOO786493 UYK786488:UYK786493 VIG786488:VIG786493 VSC786488:VSC786493 WBY786488:WBY786493 WLU786488:WLU786493 WVQ786488:WVQ786493 I852024:I852029 JE852024:JE852029 TA852024:TA852029 ACW852024:ACW852029 AMS852024:AMS852029 AWO852024:AWO852029 BGK852024:BGK852029 BQG852024:BQG852029 CAC852024:CAC852029 CJY852024:CJY852029 CTU852024:CTU852029 DDQ852024:DDQ852029 DNM852024:DNM852029 DXI852024:DXI852029 EHE852024:EHE852029 ERA852024:ERA852029 FAW852024:FAW852029 FKS852024:FKS852029 FUO852024:FUO852029 GEK852024:GEK852029 GOG852024:GOG852029 GYC852024:GYC852029 HHY852024:HHY852029 HRU852024:HRU852029 IBQ852024:IBQ852029 ILM852024:ILM852029 IVI852024:IVI852029 JFE852024:JFE852029 JPA852024:JPA852029 JYW852024:JYW852029 KIS852024:KIS852029 KSO852024:KSO852029 LCK852024:LCK852029 LMG852024:LMG852029 LWC852024:LWC852029 MFY852024:MFY852029 MPU852024:MPU852029 MZQ852024:MZQ852029 NJM852024:NJM852029 NTI852024:NTI852029 ODE852024:ODE852029 ONA852024:ONA852029 OWW852024:OWW852029 PGS852024:PGS852029 PQO852024:PQO852029 QAK852024:QAK852029 QKG852024:QKG852029 QUC852024:QUC852029 RDY852024:RDY852029 RNU852024:RNU852029 RXQ852024:RXQ852029 SHM852024:SHM852029 SRI852024:SRI852029 TBE852024:TBE852029 TLA852024:TLA852029 TUW852024:TUW852029 UES852024:UES852029 UOO852024:UOO852029 UYK852024:UYK852029 VIG852024:VIG852029 VSC852024:VSC852029 WBY852024:WBY852029 WLU852024:WLU852029 WVQ852024:WVQ852029 I917560:I917565 JE917560:JE917565 TA917560:TA917565 ACW917560:ACW917565 AMS917560:AMS917565 AWO917560:AWO917565 BGK917560:BGK917565 BQG917560:BQG917565 CAC917560:CAC917565 CJY917560:CJY917565 CTU917560:CTU917565 DDQ917560:DDQ917565 DNM917560:DNM917565 DXI917560:DXI917565 EHE917560:EHE917565 ERA917560:ERA917565 FAW917560:FAW917565 FKS917560:FKS917565 FUO917560:FUO917565 GEK917560:GEK917565 GOG917560:GOG917565 GYC917560:GYC917565 HHY917560:HHY917565 HRU917560:HRU917565 IBQ917560:IBQ917565 ILM917560:ILM917565 IVI917560:IVI917565 JFE917560:JFE917565 JPA917560:JPA917565 JYW917560:JYW917565 KIS917560:KIS917565 KSO917560:KSO917565 LCK917560:LCK917565 LMG917560:LMG917565 LWC917560:LWC917565 MFY917560:MFY917565 MPU917560:MPU917565 MZQ917560:MZQ917565 NJM917560:NJM917565 NTI917560:NTI917565 ODE917560:ODE917565 ONA917560:ONA917565 OWW917560:OWW917565 PGS917560:PGS917565 PQO917560:PQO917565 QAK917560:QAK917565 QKG917560:QKG917565 QUC917560:QUC917565 RDY917560:RDY917565 RNU917560:RNU917565 RXQ917560:RXQ917565 SHM917560:SHM917565 SRI917560:SRI917565 TBE917560:TBE917565 TLA917560:TLA917565 TUW917560:TUW917565 UES917560:UES917565 UOO917560:UOO917565 UYK917560:UYK917565 VIG917560:VIG917565 VSC917560:VSC917565 WBY917560:WBY917565 WLU917560:WLU917565 WVQ917560:WVQ917565 I983096:I983101 JE983096:JE983101 TA983096:TA983101 ACW983096:ACW983101 AMS983096:AMS983101 AWO983096:AWO983101 BGK983096:BGK983101 BQG983096:BQG983101 CAC983096:CAC983101 CJY983096:CJY983101 CTU983096:CTU983101 DDQ983096:DDQ983101 DNM983096:DNM983101 DXI983096:DXI983101 EHE983096:EHE983101 ERA983096:ERA983101 FAW983096:FAW983101 FKS983096:FKS983101 FUO983096:FUO983101 GEK983096:GEK983101 GOG983096:GOG983101 GYC983096:GYC983101 HHY983096:HHY983101 HRU983096:HRU983101 IBQ983096:IBQ983101 ILM983096:ILM983101 IVI983096:IVI983101 JFE983096:JFE983101 JPA983096:JPA983101 JYW983096:JYW983101 KIS983096:KIS983101 KSO983096:KSO983101 LCK983096:LCK983101 LMG983096:LMG983101 LWC983096:LWC983101 MFY983096:MFY983101 MPU983096:MPU983101 MZQ983096:MZQ983101 NJM983096:NJM983101 NTI983096:NTI983101 ODE983096:ODE983101 ONA983096:ONA983101 OWW983096:OWW983101 PGS983096:PGS983101 PQO983096:PQO983101 QAK983096:QAK983101 QKG983096:QKG983101 QUC983096:QUC983101 RDY983096:RDY983101 RNU983096:RNU983101 RXQ983096:RXQ983101 SHM983096:SHM983101 SRI983096:SRI983101 TBE983096:TBE983101 TLA983096:TLA983101 TUW983096:TUW983101 UES983096:UES983101 UOO983096:UOO983101 UYK983096:UYK983101 VIG983096:VIG983101 VSC983096:VSC983101 WBY983096:WBY983101 WLU983096:WLU983101 WVQ983096:WVQ983101 F56:F61 JB56:JB61 SX56:SX61 ACT56:ACT61 AMP56:AMP61 AWL56:AWL61 BGH56:BGH61 BQD56:BQD61 BZZ56:BZZ61 CJV56:CJV61 CTR56:CTR61 DDN56:DDN61 DNJ56:DNJ61 DXF56:DXF61 EHB56:EHB61 EQX56:EQX61 FAT56:FAT61 FKP56:FKP61 FUL56:FUL61 GEH56:GEH61 GOD56:GOD61 GXZ56:GXZ61 HHV56:HHV61 HRR56:HRR61 IBN56:IBN61 ILJ56:ILJ61 IVF56:IVF61 JFB56:JFB61 JOX56:JOX61 JYT56:JYT61 KIP56:KIP61 KSL56:KSL61 LCH56:LCH61 LMD56:LMD61 LVZ56:LVZ61 MFV56:MFV61 MPR56:MPR61 MZN56:MZN61 NJJ56:NJJ61 NTF56:NTF61 ODB56:ODB61 OMX56:OMX61 OWT56:OWT61 PGP56:PGP61 PQL56:PQL61 QAH56:QAH61 QKD56:QKD61 QTZ56:QTZ61 RDV56:RDV61 RNR56:RNR61 RXN56:RXN61 SHJ56:SHJ61 SRF56:SRF61 TBB56:TBB61 TKX56:TKX61 TUT56:TUT61 UEP56:UEP61 UOL56:UOL61 UYH56:UYH61 VID56:VID61 VRZ56:VRZ61 WBV56:WBV61 WLR56:WLR61 WVN56:WVN61 F65592:F65597 JB65592:JB65597 SX65592:SX65597 ACT65592:ACT65597 AMP65592:AMP65597 AWL65592:AWL65597 BGH65592:BGH65597 BQD65592:BQD65597 BZZ65592:BZZ65597 CJV65592:CJV65597 CTR65592:CTR65597 DDN65592:DDN65597 DNJ65592:DNJ65597 DXF65592:DXF65597 EHB65592:EHB65597 EQX65592:EQX65597 FAT65592:FAT65597 FKP65592:FKP65597 FUL65592:FUL65597 GEH65592:GEH65597 GOD65592:GOD65597 GXZ65592:GXZ65597 HHV65592:HHV65597 HRR65592:HRR65597 IBN65592:IBN65597 ILJ65592:ILJ65597 IVF65592:IVF65597 JFB65592:JFB65597 JOX65592:JOX65597 JYT65592:JYT65597 KIP65592:KIP65597 KSL65592:KSL65597 LCH65592:LCH65597 LMD65592:LMD65597 LVZ65592:LVZ65597 MFV65592:MFV65597 MPR65592:MPR65597 MZN65592:MZN65597 NJJ65592:NJJ65597 NTF65592:NTF65597 ODB65592:ODB65597 OMX65592:OMX65597 OWT65592:OWT65597 PGP65592:PGP65597 PQL65592:PQL65597 QAH65592:QAH65597 QKD65592:QKD65597 QTZ65592:QTZ65597 RDV65592:RDV65597 RNR65592:RNR65597 RXN65592:RXN65597 SHJ65592:SHJ65597 SRF65592:SRF65597 TBB65592:TBB65597 TKX65592:TKX65597 TUT65592:TUT65597 UEP65592:UEP65597 UOL65592:UOL65597 UYH65592:UYH65597 VID65592:VID65597 VRZ65592:VRZ65597 WBV65592:WBV65597 WLR65592:WLR65597 WVN65592:WVN65597 F131128:F131133 JB131128:JB131133 SX131128:SX131133 ACT131128:ACT131133 AMP131128:AMP131133 AWL131128:AWL131133 BGH131128:BGH131133 BQD131128:BQD131133 BZZ131128:BZZ131133 CJV131128:CJV131133 CTR131128:CTR131133 DDN131128:DDN131133 DNJ131128:DNJ131133 DXF131128:DXF131133 EHB131128:EHB131133 EQX131128:EQX131133 FAT131128:FAT131133 FKP131128:FKP131133 FUL131128:FUL131133 GEH131128:GEH131133 GOD131128:GOD131133 GXZ131128:GXZ131133 HHV131128:HHV131133 HRR131128:HRR131133 IBN131128:IBN131133 ILJ131128:ILJ131133 IVF131128:IVF131133 JFB131128:JFB131133 JOX131128:JOX131133 JYT131128:JYT131133 KIP131128:KIP131133 KSL131128:KSL131133 LCH131128:LCH131133 LMD131128:LMD131133 LVZ131128:LVZ131133 MFV131128:MFV131133 MPR131128:MPR131133 MZN131128:MZN131133 NJJ131128:NJJ131133 NTF131128:NTF131133 ODB131128:ODB131133 OMX131128:OMX131133 OWT131128:OWT131133 PGP131128:PGP131133 PQL131128:PQL131133 QAH131128:QAH131133 QKD131128:QKD131133 QTZ131128:QTZ131133 RDV131128:RDV131133 RNR131128:RNR131133 RXN131128:RXN131133 SHJ131128:SHJ131133 SRF131128:SRF131133 TBB131128:TBB131133 TKX131128:TKX131133 TUT131128:TUT131133 UEP131128:UEP131133 UOL131128:UOL131133 UYH131128:UYH131133 VID131128:VID131133 VRZ131128:VRZ131133 WBV131128:WBV131133 WLR131128:WLR131133 WVN131128:WVN131133 F196664:F196669 JB196664:JB196669 SX196664:SX196669 ACT196664:ACT196669 AMP196664:AMP196669 AWL196664:AWL196669 BGH196664:BGH196669 BQD196664:BQD196669 BZZ196664:BZZ196669 CJV196664:CJV196669 CTR196664:CTR196669 DDN196664:DDN196669 DNJ196664:DNJ196669 DXF196664:DXF196669 EHB196664:EHB196669 EQX196664:EQX196669 FAT196664:FAT196669 FKP196664:FKP196669 FUL196664:FUL196669 GEH196664:GEH196669 GOD196664:GOD196669 GXZ196664:GXZ196669 HHV196664:HHV196669 HRR196664:HRR196669 IBN196664:IBN196669 ILJ196664:ILJ196669 IVF196664:IVF196669 JFB196664:JFB196669 JOX196664:JOX196669 JYT196664:JYT196669 KIP196664:KIP196669 KSL196664:KSL196669 LCH196664:LCH196669 LMD196664:LMD196669 LVZ196664:LVZ196669 MFV196664:MFV196669 MPR196664:MPR196669 MZN196664:MZN196669 NJJ196664:NJJ196669 NTF196664:NTF196669 ODB196664:ODB196669 OMX196664:OMX196669 OWT196664:OWT196669 PGP196664:PGP196669 PQL196664:PQL196669 QAH196664:QAH196669 QKD196664:QKD196669 QTZ196664:QTZ196669 RDV196664:RDV196669 RNR196664:RNR196669 RXN196664:RXN196669 SHJ196664:SHJ196669 SRF196664:SRF196669 TBB196664:TBB196669 TKX196664:TKX196669 TUT196664:TUT196669 UEP196664:UEP196669 UOL196664:UOL196669 UYH196664:UYH196669 VID196664:VID196669 VRZ196664:VRZ196669 WBV196664:WBV196669 WLR196664:WLR196669 WVN196664:WVN196669 F262200:F262205 JB262200:JB262205 SX262200:SX262205 ACT262200:ACT262205 AMP262200:AMP262205 AWL262200:AWL262205 BGH262200:BGH262205 BQD262200:BQD262205 BZZ262200:BZZ262205 CJV262200:CJV262205 CTR262200:CTR262205 DDN262200:DDN262205 DNJ262200:DNJ262205 DXF262200:DXF262205 EHB262200:EHB262205 EQX262200:EQX262205 FAT262200:FAT262205 FKP262200:FKP262205 FUL262200:FUL262205 GEH262200:GEH262205 GOD262200:GOD262205 GXZ262200:GXZ262205 HHV262200:HHV262205 HRR262200:HRR262205 IBN262200:IBN262205 ILJ262200:ILJ262205 IVF262200:IVF262205 JFB262200:JFB262205 JOX262200:JOX262205 JYT262200:JYT262205 KIP262200:KIP262205 KSL262200:KSL262205 LCH262200:LCH262205 LMD262200:LMD262205 LVZ262200:LVZ262205 MFV262200:MFV262205 MPR262200:MPR262205 MZN262200:MZN262205 NJJ262200:NJJ262205 NTF262200:NTF262205 ODB262200:ODB262205 OMX262200:OMX262205 OWT262200:OWT262205 PGP262200:PGP262205 PQL262200:PQL262205 QAH262200:QAH262205 QKD262200:QKD262205 QTZ262200:QTZ262205 RDV262200:RDV262205 RNR262200:RNR262205 RXN262200:RXN262205 SHJ262200:SHJ262205 SRF262200:SRF262205 TBB262200:TBB262205 TKX262200:TKX262205 TUT262200:TUT262205 UEP262200:UEP262205 UOL262200:UOL262205 UYH262200:UYH262205 VID262200:VID262205 VRZ262200:VRZ262205 WBV262200:WBV262205 WLR262200:WLR262205 WVN262200:WVN262205 F327736:F327741 JB327736:JB327741 SX327736:SX327741 ACT327736:ACT327741 AMP327736:AMP327741 AWL327736:AWL327741 BGH327736:BGH327741 BQD327736:BQD327741 BZZ327736:BZZ327741 CJV327736:CJV327741 CTR327736:CTR327741 DDN327736:DDN327741 DNJ327736:DNJ327741 DXF327736:DXF327741 EHB327736:EHB327741 EQX327736:EQX327741 FAT327736:FAT327741 FKP327736:FKP327741 FUL327736:FUL327741 GEH327736:GEH327741 GOD327736:GOD327741 GXZ327736:GXZ327741 HHV327736:HHV327741 HRR327736:HRR327741 IBN327736:IBN327741 ILJ327736:ILJ327741 IVF327736:IVF327741 JFB327736:JFB327741 JOX327736:JOX327741 JYT327736:JYT327741 KIP327736:KIP327741 KSL327736:KSL327741 LCH327736:LCH327741 LMD327736:LMD327741 LVZ327736:LVZ327741 MFV327736:MFV327741 MPR327736:MPR327741 MZN327736:MZN327741 NJJ327736:NJJ327741 NTF327736:NTF327741 ODB327736:ODB327741 OMX327736:OMX327741 OWT327736:OWT327741 PGP327736:PGP327741 PQL327736:PQL327741 QAH327736:QAH327741 QKD327736:QKD327741 QTZ327736:QTZ327741 RDV327736:RDV327741 RNR327736:RNR327741 RXN327736:RXN327741 SHJ327736:SHJ327741 SRF327736:SRF327741 TBB327736:TBB327741 TKX327736:TKX327741 TUT327736:TUT327741 UEP327736:UEP327741 UOL327736:UOL327741 UYH327736:UYH327741 VID327736:VID327741 VRZ327736:VRZ327741 WBV327736:WBV327741 WLR327736:WLR327741 WVN327736:WVN327741 F393272:F393277 JB393272:JB393277 SX393272:SX393277 ACT393272:ACT393277 AMP393272:AMP393277 AWL393272:AWL393277 BGH393272:BGH393277 BQD393272:BQD393277 BZZ393272:BZZ393277 CJV393272:CJV393277 CTR393272:CTR393277 DDN393272:DDN393277 DNJ393272:DNJ393277 DXF393272:DXF393277 EHB393272:EHB393277 EQX393272:EQX393277 FAT393272:FAT393277 FKP393272:FKP393277 FUL393272:FUL393277 GEH393272:GEH393277 GOD393272:GOD393277 GXZ393272:GXZ393277 HHV393272:HHV393277 HRR393272:HRR393277 IBN393272:IBN393277 ILJ393272:ILJ393277 IVF393272:IVF393277 JFB393272:JFB393277 JOX393272:JOX393277 JYT393272:JYT393277 KIP393272:KIP393277 KSL393272:KSL393277 LCH393272:LCH393277 LMD393272:LMD393277 LVZ393272:LVZ393277 MFV393272:MFV393277 MPR393272:MPR393277 MZN393272:MZN393277 NJJ393272:NJJ393277 NTF393272:NTF393277 ODB393272:ODB393277 OMX393272:OMX393277 OWT393272:OWT393277 PGP393272:PGP393277 PQL393272:PQL393277 QAH393272:QAH393277 QKD393272:QKD393277 QTZ393272:QTZ393277 RDV393272:RDV393277 RNR393272:RNR393277 RXN393272:RXN393277 SHJ393272:SHJ393277 SRF393272:SRF393277 TBB393272:TBB393277 TKX393272:TKX393277 TUT393272:TUT393277 UEP393272:UEP393277 UOL393272:UOL393277 UYH393272:UYH393277 VID393272:VID393277 VRZ393272:VRZ393277 WBV393272:WBV393277 WLR393272:WLR393277 WVN393272:WVN393277 F458808:F458813 JB458808:JB458813 SX458808:SX458813 ACT458808:ACT458813 AMP458808:AMP458813 AWL458808:AWL458813 BGH458808:BGH458813 BQD458808:BQD458813 BZZ458808:BZZ458813 CJV458808:CJV458813 CTR458808:CTR458813 DDN458808:DDN458813 DNJ458808:DNJ458813 DXF458808:DXF458813 EHB458808:EHB458813 EQX458808:EQX458813 FAT458808:FAT458813 FKP458808:FKP458813 FUL458808:FUL458813 GEH458808:GEH458813 GOD458808:GOD458813 GXZ458808:GXZ458813 HHV458808:HHV458813 HRR458808:HRR458813 IBN458808:IBN458813 ILJ458808:ILJ458813 IVF458808:IVF458813 JFB458808:JFB458813 JOX458808:JOX458813 JYT458808:JYT458813 KIP458808:KIP458813 KSL458808:KSL458813 LCH458808:LCH458813 LMD458808:LMD458813 LVZ458808:LVZ458813 MFV458808:MFV458813 MPR458808:MPR458813 MZN458808:MZN458813 NJJ458808:NJJ458813 NTF458808:NTF458813 ODB458808:ODB458813 OMX458808:OMX458813 OWT458808:OWT458813 PGP458808:PGP458813 PQL458808:PQL458813 QAH458808:QAH458813 QKD458808:QKD458813 QTZ458808:QTZ458813 RDV458808:RDV458813 RNR458808:RNR458813 RXN458808:RXN458813 SHJ458808:SHJ458813 SRF458808:SRF458813 TBB458808:TBB458813 TKX458808:TKX458813 TUT458808:TUT458813 UEP458808:UEP458813 UOL458808:UOL458813 UYH458808:UYH458813 VID458808:VID458813 VRZ458808:VRZ458813 WBV458808:WBV458813 WLR458808:WLR458813 WVN458808:WVN458813 F524344:F524349 JB524344:JB524349 SX524344:SX524349 ACT524344:ACT524349 AMP524344:AMP524349 AWL524344:AWL524349 BGH524344:BGH524349 BQD524344:BQD524349 BZZ524344:BZZ524349 CJV524344:CJV524349 CTR524344:CTR524349 DDN524344:DDN524349 DNJ524344:DNJ524349 DXF524344:DXF524349 EHB524344:EHB524349 EQX524344:EQX524349 FAT524344:FAT524349 FKP524344:FKP524349 FUL524344:FUL524349 GEH524344:GEH524349 GOD524344:GOD524349 GXZ524344:GXZ524349 HHV524344:HHV524349 HRR524344:HRR524349 IBN524344:IBN524349 ILJ524344:ILJ524349 IVF524344:IVF524349 JFB524344:JFB524349 JOX524344:JOX524349 JYT524344:JYT524349 KIP524344:KIP524349 KSL524344:KSL524349 LCH524344:LCH524349 LMD524344:LMD524349 LVZ524344:LVZ524349 MFV524344:MFV524349 MPR524344:MPR524349 MZN524344:MZN524349 NJJ524344:NJJ524349 NTF524344:NTF524349 ODB524344:ODB524349 OMX524344:OMX524349 OWT524344:OWT524349 PGP524344:PGP524349 PQL524344:PQL524349 QAH524344:QAH524349 QKD524344:QKD524349 QTZ524344:QTZ524349 RDV524344:RDV524349 RNR524344:RNR524349 RXN524344:RXN524349 SHJ524344:SHJ524349 SRF524344:SRF524349 TBB524344:TBB524349 TKX524344:TKX524349 TUT524344:TUT524349 UEP524344:UEP524349 UOL524344:UOL524349 UYH524344:UYH524349 VID524344:VID524349 VRZ524344:VRZ524349 WBV524344:WBV524349 WLR524344:WLR524349 WVN524344:WVN524349 F589880:F589885 JB589880:JB589885 SX589880:SX589885 ACT589880:ACT589885 AMP589880:AMP589885 AWL589880:AWL589885 BGH589880:BGH589885 BQD589880:BQD589885 BZZ589880:BZZ589885 CJV589880:CJV589885 CTR589880:CTR589885 DDN589880:DDN589885 DNJ589880:DNJ589885 DXF589880:DXF589885 EHB589880:EHB589885 EQX589880:EQX589885 FAT589880:FAT589885 FKP589880:FKP589885 FUL589880:FUL589885 GEH589880:GEH589885 GOD589880:GOD589885 GXZ589880:GXZ589885 HHV589880:HHV589885 HRR589880:HRR589885 IBN589880:IBN589885 ILJ589880:ILJ589885 IVF589880:IVF589885 JFB589880:JFB589885 JOX589880:JOX589885 JYT589880:JYT589885 KIP589880:KIP589885 KSL589880:KSL589885 LCH589880:LCH589885 LMD589880:LMD589885 LVZ589880:LVZ589885 MFV589880:MFV589885 MPR589880:MPR589885 MZN589880:MZN589885 NJJ589880:NJJ589885 NTF589880:NTF589885 ODB589880:ODB589885 OMX589880:OMX589885 OWT589880:OWT589885 PGP589880:PGP589885 PQL589880:PQL589885 QAH589880:QAH589885 QKD589880:QKD589885 QTZ589880:QTZ589885 RDV589880:RDV589885 RNR589880:RNR589885 RXN589880:RXN589885 SHJ589880:SHJ589885 SRF589880:SRF589885 TBB589880:TBB589885 TKX589880:TKX589885 TUT589880:TUT589885 UEP589880:UEP589885 UOL589880:UOL589885 UYH589880:UYH589885 VID589880:VID589885 VRZ589880:VRZ589885 WBV589880:WBV589885 WLR589880:WLR589885 WVN589880:WVN589885 F655416:F655421 JB655416:JB655421 SX655416:SX655421 ACT655416:ACT655421 AMP655416:AMP655421 AWL655416:AWL655421 BGH655416:BGH655421 BQD655416:BQD655421 BZZ655416:BZZ655421 CJV655416:CJV655421 CTR655416:CTR655421 DDN655416:DDN655421 DNJ655416:DNJ655421 DXF655416:DXF655421 EHB655416:EHB655421 EQX655416:EQX655421 FAT655416:FAT655421 FKP655416:FKP655421 FUL655416:FUL655421 GEH655416:GEH655421 GOD655416:GOD655421 GXZ655416:GXZ655421 HHV655416:HHV655421 HRR655416:HRR655421 IBN655416:IBN655421 ILJ655416:ILJ655421 IVF655416:IVF655421 JFB655416:JFB655421 JOX655416:JOX655421 JYT655416:JYT655421 KIP655416:KIP655421 KSL655416:KSL655421 LCH655416:LCH655421 LMD655416:LMD655421 LVZ655416:LVZ655421 MFV655416:MFV655421 MPR655416:MPR655421 MZN655416:MZN655421 NJJ655416:NJJ655421 NTF655416:NTF655421 ODB655416:ODB655421 OMX655416:OMX655421 OWT655416:OWT655421 PGP655416:PGP655421 PQL655416:PQL655421 QAH655416:QAH655421 QKD655416:QKD655421 QTZ655416:QTZ655421 RDV655416:RDV655421 RNR655416:RNR655421 RXN655416:RXN655421 SHJ655416:SHJ655421 SRF655416:SRF655421 TBB655416:TBB655421 TKX655416:TKX655421 TUT655416:TUT655421 UEP655416:UEP655421 UOL655416:UOL655421 UYH655416:UYH655421 VID655416:VID655421 VRZ655416:VRZ655421 WBV655416:WBV655421 WLR655416:WLR655421 WVN655416:WVN655421 F720952:F720957 JB720952:JB720957 SX720952:SX720957 ACT720952:ACT720957 AMP720952:AMP720957 AWL720952:AWL720957 BGH720952:BGH720957 BQD720952:BQD720957 BZZ720952:BZZ720957 CJV720952:CJV720957 CTR720952:CTR720957 DDN720952:DDN720957 DNJ720952:DNJ720957 DXF720952:DXF720957 EHB720952:EHB720957 EQX720952:EQX720957 FAT720952:FAT720957 FKP720952:FKP720957 FUL720952:FUL720957 GEH720952:GEH720957 GOD720952:GOD720957 GXZ720952:GXZ720957 HHV720952:HHV720957 HRR720952:HRR720957 IBN720952:IBN720957 ILJ720952:ILJ720957 IVF720952:IVF720957 JFB720952:JFB720957 JOX720952:JOX720957 JYT720952:JYT720957 KIP720952:KIP720957 KSL720952:KSL720957 LCH720952:LCH720957 LMD720952:LMD720957 LVZ720952:LVZ720957 MFV720952:MFV720957 MPR720952:MPR720957 MZN720952:MZN720957 NJJ720952:NJJ720957 NTF720952:NTF720957 ODB720952:ODB720957 OMX720952:OMX720957 OWT720952:OWT720957 PGP720952:PGP720957 PQL720952:PQL720957 QAH720952:QAH720957 QKD720952:QKD720957 QTZ720952:QTZ720957 RDV720952:RDV720957 RNR720952:RNR720957 RXN720952:RXN720957 SHJ720952:SHJ720957 SRF720952:SRF720957 TBB720952:TBB720957 TKX720952:TKX720957 TUT720952:TUT720957 UEP720952:UEP720957 UOL720952:UOL720957 UYH720952:UYH720957 VID720952:VID720957 VRZ720952:VRZ720957 WBV720952:WBV720957 WLR720952:WLR720957 WVN720952:WVN720957 F786488:F786493 JB786488:JB786493 SX786488:SX786493 ACT786488:ACT786493 AMP786488:AMP786493 AWL786488:AWL786493 BGH786488:BGH786493 BQD786488:BQD786493 BZZ786488:BZZ786493 CJV786488:CJV786493 CTR786488:CTR786493 DDN786488:DDN786493 DNJ786488:DNJ786493 DXF786488:DXF786493 EHB786488:EHB786493 EQX786488:EQX786493 FAT786488:FAT786493 FKP786488:FKP786493 FUL786488:FUL786493 GEH786488:GEH786493 GOD786488:GOD786493 GXZ786488:GXZ786493 HHV786488:HHV786493 HRR786488:HRR786493 IBN786488:IBN786493 ILJ786488:ILJ786493 IVF786488:IVF786493 JFB786488:JFB786493 JOX786488:JOX786493 JYT786488:JYT786493 KIP786488:KIP786493 KSL786488:KSL786493 LCH786488:LCH786493 LMD786488:LMD786493 LVZ786488:LVZ786493 MFV786488:MFV786493 MPR786488:MPR786493 MZN786488:MZN786493 NJJ786488:NJJ786493 NTF786488:NTF786493 ODB786488:ODB786493 OMX786488:OMX786493 OWT786488:OWT786493 PGP786488:PGP786493 PQL786488:PQL786493 QAH786488:QAH786493 QKD786488:QKD786493 QTZ786488:QTZ786493 RDV786488:RDV786493 RNR786488:RNR786493 RXN786488:RXN786493 SHJ786488:SHJ786493 SRF786488:SRF786493 TBB786488:TBB786493 TKX786488:TKX786493 TUT786488:TUT786493 UEP786488:UEP786493 UOL786488:UOL786493 UYH786488:UYH786493 VID786488:VID786493 VRZ786488:VRZ786493 WBV786488:WBV786493 WLR786488:WLR786493 WVN786488:WVN786493 F852024:F852029 JB852024:JB852029 SX852024:SX852029 ACT852024:ACT852029 AMP852024:AMP852029 AWL852024:AWL852029 BGH852024:BGH852029 BQD852024:BQD852029 BZZ852024:BZZ852029 CJV852024:CJV852029 CTR852024:CTR852029 DDN852024:DDN852029 DNJ852024:DNJ852029 DXF852024:DXF852029 EHB852024:EHB852029 EQX852024:EQX852029 FAT852024:FAT852029 FKP852024:FKP852029 FUL852024:FUL852029 GEH852024:GEH852029 GOD852024:GOD852029 GXZ852024:GXZ852029 HHV852024:HHV852029 HRR852024:HRR852029 IBN852024:IBN852029 ILJ852024:ILJ852029 IVF852024:IVF852029 JFB852024:JFB852029 JOX852024:JOX852029 JYT852024:JYT852029 KIP852024:KIP852029 KSL852024:KSL852029 LCH852024:LCH852029 LMD852024:LMD852029 LVZ852024:LVZ852029 MFV852024:MFV852029 MPR852024:MPR852029 MZN852024:MZN852029 NJJ852024:NJJ852029 NTF852024:NTF852029 ODB852024:ODB852029 OMX852024:OMX852029 OWT852024:OWT852029 PGP852024:PGP852029 PQL852024:PQL852029 QAH852024:QAH852029 QKD852024:QKD852029 QTZ852024:QTZ852029 RDV852024:RDV852029 RNR852024:RNR852029 RXN852024:RXN852029 SHJ852024:SHJ852029 SRF852024:SRF852029 TBB852024:TBB852029 TKX852024:TKX852029 TUT852024:TUT852029 UEP852024:UEP852029 UOL852024:UOL852029 UYH852024:UYH852029 VID852024:VID852029 VRZ852024:VRZ852029 WBV852024:WBV852029 WLR852024:WLR852029 WVN852024:WVN852029 F917560:F917565 JB917560:JB917565 SX917560:SX917565 ACT917560:ACT917565 AMP917560:AMP917565 AWL917560:AWL917565 BGH917560:BGH917565 BQD917560:BQD917565 BZZ917560:BZZ917565 CJV917560:CJV917565 CTR917560:CTR917565 DDN917560:DDN917565 DNJ917560:DNJ917565 DXF917560:DXF917565 EHB917560:EHB917565 EQX917560:EQX917565 FAT917560:FAT917565 FKP917560:FKP917565 FUL917560:FUL917565 GEH917560:GEH917565 GOD917560:GOD917565 GXZ917560:GXZ917565 HHV917560:HHV917565 HRR917560:HRR917565 IBN917560:IBN917565 ILJ917560:ILJ917565 IVF917560:IVF917565 JFB917560:JFB917565 JOX917560:JOX917565 JYT917560:JYT917565 KIP917560:KIP917565 KSL917560:KSL917565 LCH917560:LCH917565 LMD917560:LMD917565 LVZ917560:LVZ917565 MFV917560:MFV917565 MPR917560:MPR917565 MZN917560:MZN917565 NJJ917560:NJJ917565 NTF917560:NTF917565 ODB917560:ODB917565 OMX917560:OMX917565 OWT917560:OWT917565 PGP917560:PGP917565 PQL917560:PQL917565 QAH917560:QAH917565 QKD917560:QKD917565 QTZ917560:QTZ917565 RDV917560:RDV917565 RNR917560:RNR917565 RXN917560:RXN917565 SHJ917560:SHJ917565 SRF917560:SRF917565 TBB917560:TBB917565 TKX917560:TKX917565 TUT917560:TUT917565 UEP917560:UEP917565 UOL917560:UOL917565 UYH917560:UYH917565 VID917560:VID917565 VRZ917560:VRZ917565 WBV917560:WBV917565 WLR917560:WLR917565 WVN917560:WVN917565 F983096:F983101 JB983096:JB983101 SX983096:SX983101 ACT983096:ACT983101 AMP983096:AMP983101 AWL983096:AWL983101 BGH983096:BGH983101 BQD983096:BQD983101 BZZ983096:BZZ983101 CJV983096:CJV983101 CTR983096:CTR983101 DDN983096:DDN983101 DNJ983096:DNJ983101 DXF983096:DXF983101 EHB983096:EHB983101 EQX983096:EQX983101 FAT983096:FAT983101 FKP983096:FKP983101 FUL983096:FUL983101 GEH983096:GEH983101 GOD983096:GOD983101 GXZ983096:GXZ983101 HHV983096:HHV983101 HRR983096:HRR983101 IBN983096:IBN983101 ILJ983096:ILJ983101 IVF983096:IVF983101 JFB983096:JFB983101 JOX983096:JOX983101 JYT983096:JYT983101 KIP983096:KIP983101 KSL983096:KSL983101 LCH983096:LCH983101 LMD983096:LMD983101 LVZ983096:LVZ983101 MFV983096:MFV983101 MPR983096:MPR983101 MZN983096:MZN983101 NJJ983096:NJJ983101 NTF983096:NTF983101 ODB983096:ODB983101 OMX983096:OMX983101 OWT983096:OWT983101 PGP983096:PGP983101 PQL983096:PQL983101 QAH983096:QAH983101 QKD983096:QKD983101 QTZ983096:QTZ983101 RDV983096:RDV983101 RNR983096:RNR983101 RXN983096:RXN983101 SHJ983096:SHJ983101 SRF983096:SRF983101 TBB983096:TBB983101 TKX983096:TKX983101 TUT983096:TUT983101 UEP983096:UEP983101 UOL983096:UOL983101 UYH983096:UYH983101 VID983096:VID983101 VRZ983096:VRZ983101 WBV983096:WBV983101 WLR983096:WLR983101 WVN983096:WVN983101 I48:I53 JE48:JE53 TA48:TA53 ACW48:ACW53 AMS48:AMS53 AWO48:AWO53 BGK48:BGK53 BQG48:BQG53 CAC48:CAC53 CJY48:CJY53 CTU48:CTU53 DDQ48:DDQ53 DNM48:DNM53 DXI48:DXI53 EHE48:EHE53 ERA48:ERA53 FAW48:FAW53 FKS48:FKS53 FUO48:FUO53 GEK48:GEK53 GOG48:GOG53 GYC48:GYC53 HHY48:HHY53 HRU48:HRU53 IBQ48:IBQ53 ILM48:ILM53 IVI48:IVI53 JFE48:JFE53 JPA48:JPA53 JYW48:JYW53 KIS48:KIS53 KSO48:KSO53 LCK48:LCK53 LMG48:LMG53 LWC48:LWC53 MFY48:MFY53 MPU48:MPU53 MZQ48:MZQ53 NJM48:NJM53 NTI48:NTI53 ODE48:ODE53 ONA48:ONA53 OWW48:OWW53 PGS48:PGS53 PQO48:PQO53 QAK48:QAK53 QKG48:QKG53 QUC48:QUC53 RDY48:RDY53 RNU48:RNU53 RXQ48:RXQ53 SHM48:SHM53 SRI48:SRI53 TBE48:TBE53 TLA48:TLA53 TUW48:TUW53 UES48:UES53 UOO48:UOO53 UYK48:UYK53 VIG48:VIG53 VSC48:VSC53 WBY48:WBY53 WLU48:WLU53 WVQ48:WVQ53 I65584:I65589 JE65584:JE65589 TA65584:TA65589 ACW65584:ACW65589 AMS65584:AMS65589 AWO65584:AWO65589 BGK65584:BGK65589 BQG65584:BQG65589 CAC65584:CAC65589 CJY65584:CJY65589 CTU65584:CTU65589 DDQ65584:DDQ65589 DNM65584:DNM65589 DXI65584:DXI65589 EHE65584:EHE65589 ERA65584:ERA65589 FAW65584:FAW65589 FKS65584:FKS65589 FUO65584:FUO65589 GEK65584:GEK65589 GOG65584:GOG65589 GYC65584:GYC65589 HHY65584:HHY65589 HRU65584:HRU65589 IBQ65584:IBQ65589 ILM65584:ILM65589 IVI65584:IVI65589 JFE65584:JFE65589 JPA65584:JPA65589 JYW65584:JYW65589 KIS65584:KIS65589 KSO65584:KSO65589 LCK65584:LCK65589 LMG65584:LMG65589 LWC65584:LWC65589 MFY65584:MFY65589 MPU65584:MPU65589 MZQ65584:MZQ65589 NJM65584:NJM65589 NTI65584:NTI65589 ODE65584:ODE65589 ONA65584:ONA65589 OWW65584:OWW65589 PGS65584:PGS65589 PQO65584:PQO65589 QAK65584:QAK65589 QKG65584:QKG65589 QUC65584:QUC65589 RDY65584:RDY65589 RNU65584:RNU65589 RXQ65584:RXQ65589 SHM65584:SHM65589 SRI65584:SRI65589 TBE65584:TBE65589 TLA65584:TLA65589 TUW65584:TUW65589 UES65584:UES65589 UOO65584:UOO65589 UYK65584:UYK65589 VIG65584:VIG65589 VSC65584:VSC65589 WBY65584:WBY65589 WLU65584:WLU65589 WVQ65584:WVQ65589 I131120:I131125 JE131120:JE131125 TA131120:TA131125 ACW131120:ACW131125 AMS131120:AMS131125 AWO131120:AWO131125 BGK131120:BGK131125 BQG131120:BQG131125 CAC131120:CAC131125 CJY131120:CJY131125 CTU131120:CTU131125 DDQ131120:DDQ131125 DNM131120:DNM131125 DXI131120:DXI131125 EHE131120:EHE131125 ERA131120:ERA131125 FAW131120:FAW131125 FKS131120:FKS131125 FUO131120:FUO131125 GEK131120:GEK131125 GOG131120:GOG131125 GYC131120:GYC131125 HHY131120:HHY131125 HRU131120:HRU131125 IBQ131120:IBQ131125 ILM131120:ILM131125 IVI131120:IVI131125 JFE131120:JFE131125 JPA131120:JPA131125 JYW131120:JYW131125 KIS131120:KIS131125 KSO131120:KSO131125 LCK131120:LCK131125 LMG131120:LMG131125 LWC131120:LWC131125 MFY131120:MFY131125 MPU131120:MPU131125 MZQ131120:MZQ131125 NJM131120:NJM131125 NTI131120:NTI131125 ODE131120:ODE131125 ONA131120:ONA131125 OWW131120:OWW131125 PGS131120:PGS131125 PQO131120:PQO131125 QAK131120:QAK131125 QKG131120:QKG131125 QUC131120:QUC131125 RDY131120:RDY131125 RNU131120:RNU131125 RXQ131120:RXQ131125 SHM131120:SHM131125 SRI131120:SRI131125 TBE131120:TBE131125 TLA131120:TLA131125 TUW131120:TUW131125 UES131120:UES131125 UOO131120:UOO131125 UYK131120:UYK131125 VIG131120:VIG131125 VSC131120:VSC131125 WBY131120:WBY131125 WLU131120:WLU131125 WVQ131120:WVQ131125 I196656:I196661 JE196656:JE196661 TA196656:TA196661 ACW196656:ACW196661 AMS196656:AMS196661 AWO196656:AWO196661 BGK196656:BGK196661 BQG196656:BQG196661 CAC196656:CAC196661 CJY196656:CJY196661 CTU196656:CTU196661 DDQ196656:DDQ196661 DNM196656:DNM196661 DXI196656:DXI196661 EHE196656:EHE196661 ERA196656:ERA196661 FAW196656:FAW196661 FKS196656:FKS196661 FUO196656:FUO196661 GEK196656:GEK196661 GOG196656:GOG196661 GYC196656:GYC196661 HHY196656:HHY196661 HRU196656:HRU196661 IBQ196656:IBQ196661 ILM196656:ILM196661 IVI196656:IVI196661 JFE196656:JFE196661 JPA196656:JPA196661 JYW196656:JYW196661 KIS196656:KIS196661 KSO196656:KSO196661 LCK196656:LCK196661 LMG196656:LMG196661 LWC196656:LWC196661 MFY196656:MFY196661 MPU196656:MPU196661 MZQ196656:MZQ196661 NJM196656:NJM196661 NTI196656:NTI196661 ODE196656:ODE196661 ONA196656:ONA196661 OWW196656:OWW196661 PGS196656:PGS196661 PQO196656:PQO196661 QAK196656:QAK196661 QKG196656:QKG196661 QUC196656:QUC196661 RDY196656:RDY196661 RNU196656:RNU196661 RXQ196656:RXQ196661 SHM196656:SHM196661 SRI196656:SRI196661 TBE196656:TBE196661 TLA196656:TLA196661 TUW196656:TUW196661 UES196656:UES196661 UOO196656:UOO196661 UYK196656:UYK196661 VIG196656:VIG196661 VSC196656:VSC196661 WBY196656:WBY196661 WLU196656:WLU196661 WVQ196656:WVQ196661 I262192:I262197 JE262192:JE262197 TA262192:TA262197 ACW262192:ACW262197 AMS262192:AMS262197 AWO262192:AWO262197 BGK262192:BGK262197 BQG262192:BQG262197 CAC262192:CAC262197 CJY262192:CJY262197 CTU262192:CTU262197 DDQ262192:DDQ262197 DNM262192:DNM262197 DXI262192:DXI262197 EHE262192:EHE262197 ERA262192:ERA262197 FAW262192:FAW262197 FKS262192:FKS262197 FUO262192:FUO262197 GEK262192:GEK262197 GOG262192:GOG262197 GYC262192:GYC262197 HHY262192:HHY262197 HRU262192:HRU262197 IBQ262192:IBQ262197 ILM262192:ILM262197 IVI262192:IVI262197 JFE262192:JFE262197 JPA262192:JPA262197 JYW262192:JYW262197 KIS262192:KIS262197 KSO262192:KSO262197 LCK262192:LCK262197 LMG262192:LMG262197 LWC262192:LWC262197 MFY262192:MFY262197 MPU262192:MPU262197 MZQ262192:MZQ262197 NJM262192:NJM262197 NTI262192:NTI262197 ODE262192:ODE262197 ONA262192:ONA262197 OWW262192:OWW262197 PGS262192:PGS262197 PQO262192:PQO262197 QAK262192:QAK262197 QKG262192:QKG262197 QUC262192:QUC262197 RDY262192:RDY262197 RNU262192:RNU262197 RXQ262192:RXQ262197 SHM262192:SHM262197 SRI262192:SRI262197 TBE262192:TBE262197 TLA262192:TLA262197 TUW262192:TUW262197 UES262192:UES262197 UOO262192:UOO262197 UYK262192:UYK262197 VIG262192:VIG262197 VSC262192:VSC262197 WBY262192:WBY262197 WLU262192:WLU262197 WVQ262192:WVQ262197 I327728:I327733 JE327728:JE327733 TA327728:TA327733 ACW327728:ACW327733 AMS327728:AMS327733 AWO327728:AWO327733 BGK327728:BGK327733 BQG327728:BQG327733 CAC327728:CAC327733 CJY327728:CJY327733 CTU327728:CTU327733 DDQ327728:DDQ327733 DNM327728:DNM327733 DXI327728:DXI327733 EHE327728:EHE327733 ERA327728:ERA327733 FAW327728:FAW327733 FKS327728:FKS327733 FUO327728:FUO327733 GEK327728:GEK327733 GOG327728:GOG327733 GYC327728:GYC327733 HHY327728:HHY327733 HRU327728:HRU327733 IBQ327728:IBQ327733 ILM327728:ILM327733 IVI327728:IVI327733 JFE327728:JFE327733 JPA327728:JPA327733 JYW327728:JYW327733 KIS327728:KIS327733 KSO327728:KSO327733 LCK327728:LCK327733 LMG327728:LMG327733 LWC327728:LWC327733 MFY327728:MFY327733 MPU327728:MPU327733 MZQ327728:MZQ327733 NJM327728:NJM327733 NTI327728:NTI327733 ODE327728:ODE327733 ONA327728:ONA327733 OWW327728:OWW327733 PGS327728:PGS327733 PQO327728:PQO327733 QAK327728:QAK327733 QKG327728:QKG327733 QUC327728:QUC327733 RDY327728:RDY327733 RNU327728:RNU327733 RXQ327728:RXQ327733 SHM327728:SHM327733 SRI327728:SRI327733 TBE327728:TBE327733 TLA327728:TLA327733 TUW327728:TUW327733 UES327728:UES327733 UOO327728:UOO327733 UYK327728:UYK327733 VIG327728:VIG327733 VSC327728:VSC327733 WBY327728:WBY327733 WLU327728:WLU327733 WVQ327728:WVQ327733 I393264:I393269 JE393264:JE393269 TA393264:TA393269 ACW393264:ACW393269 AMS393264:AMS393269 AWO393264:AWO393269 BGK393264:BGK393269 BQG393264:BQG393269 CAC393264:CAC393269 CJY393264:CJY393269 CTU393264:CTU393269 DDQ393264:DDQ393269 DNM393264:DNM393269 DXI393264:DXI393269 EHE393264:EHE393269 ERA393264:ERA393269 FAW393264:FAW393269 FKS393264:FKS393269 FUO393264:FUO393269 GEK393264:GEK393269 GOG393264:GOG393269 GYC393264:GYC393269 HHY393264:HHY393269 HRU393264:HRU393269 IBQ393264:IBQ393269 ILM393264:ILM393269 IVI393264:IVI393269 JFE393264:JFE393269 JPA393264:JPA393269 JYW393264:JYW393269 KIS393264:KIS393269 KSO393264:KSO393269 LCK393264:LCK393269 LMG393264:LMG393269 LWC393264:LWC393269 MFY393264:MFY393269 MPU393264:MPU393269 MZQ393264:MZQ393269 NJM393264:NJM393269 NTI393264:NTI393269 ODE393264:ODE393269 ONA393264:ONA393269 OWW393264:OWW393269 PGS393264:PGS393269 PQO393264:PQO393269 QAK393264:QAK393269 QKG393264:QKG393269 QUC393264:QUC393269 RDY393264:RDY393269 RNU393264:RNU393269 RXQ393264:RXQ393269 SHM393264:SHM393269 SRI393264:SRI393269 TBE393264:TBE393269 TLA393264:TLA393269 TUW393264:TUW393269 UES393264:UES393269 UOO393264:UOO393269 UYK393264:UYK393269 VIG393264:VIG393269 VSC393264:VSC393269 WBY393264:WBY393269 WLU393264:WLU393269 WVQ393264:WVQ393269 I458800:I458805 JE458800:JE458805 TA458800:TA458805 ACW458800:ACW458805 AMS458800:AMS458805 AWO458800:AWO458805 BGK458800:BGK458805 BQG458800:BQG458805 CAC458800:CAC458805 CJY458800:CJY458805 CTU458800:CTU458805 DDQ458800:DDQ458805 DNM458800:DNM458805 DXI458800:DXI458805 EHE458800:EHE458805 ERA458800:ERA458805 FAW458800:FAW458805 FKS458800:FKS458805 FUO458800:FUO458805 GEK458800:GEK458805 GOG458800:GOG458805 GYC458800:GYC458805 HHY458800:HHY458805 HRU458800:HRU458805 IBQ458800:IBQ458805 ILM458800:ILM458805 IVI458800:IVI458805 JFE458800:JFE458805 JPA458800:JPA458805 JYW458800:JYW458805 KIS458800:KIS458805 KSO458800:KSO458805 LCK458800:LCK458805 LMG458800:LMG458805 LWC458800:LWC458805 MFY458800:MFY458805 MPU458800:MPU458805 MZQ458800:MZQ458805 NJM458800:NJM458805 NTI458800:NTI458805 ODE458800:ODE458805 ONA458800:ONA458805 OWW458800:OWW458805 PGS458800:PGS458805 PQO458800:PQO458805 QAK458800:QAK458805 QKG458800:QKG458805 QUC458800:QUC458805 RDY458800:RDY458805 RNU458800:RNU458805 RXQ458800:RXQ458805 SHM458800:SHM458805 SRI458800:SRI458805 TBE458800:TBE458805 TLA458800:TLA458805 TUW458800:TUW458805 UES458800:UES458805 UOO458800:UOO458805 UYK458800:UYK458805 VIG458800:VIG458805 VSC458800:VSC458805 WBY458800:WBY458805 WLU458800:WLU458805 WVQ458800:WVQ458805 I524336:I524341 JE524336:JE524341 TA524336:TA524341 ACW524336:ACW524341 AMS524336:AMS524341 AWO524336:AWO524341 BGK524336:BGK524341 BQG524336:BQG524341 CAC524336:CAC524341 CJY524336:CJY524341 CTU524336:CTU524341 DDQ524336:DDQ524341 DNM524336:DNM524341 DXI524336:DXI524341 EHE524336:EHE524341 ERA524336:ERA524341 FAW524336:FAW524341 FKS524336:FKS524341 FUO524336:FUO524341 GEK524336:GEK524341 GOG524336:GOG524341 GYC524336:GYC524341 HHY524336:HHY524341 HRU524336:HRU524341 IBQ524336:IBQ524341 ILM524336:ILM524341 IVI524336:IVI524341 JFE524336:JFE524341 JPA524336:JPA524341 JYW524336:JYW524341 KIS524336:KIS524341 KSO524336:KSO524341 LCK524336:LCK524341 LMG524336:LMG524341 LWC524336:LWC524341 MFY524336:MFY524341 MPU524336:MPU524341 MZQ524336:MZQ524341 NJM524336:NJM524341 NTI524336:NTI524341 ODE524336:ODE524341 ONA524336:ONA524341 OWW524336:OWW524341 PGS524336:PGS524341 PQO524336:PQO524341 QAK524336:QAK524341 QKG524336:QKG524341 QUC524336:QUC524341 RDY524336:RDY524341 RNU524336:RNU524341 RXQ524336:RXQ524341 SHM524336:SHM524341 SRI524336:SRI524341 TBE524336:TBE524341 TLA524336:TLA524341 TUW524336:TUW524341 UES524336:UES524341 UOO524336:UOO524341 UYK524336:UYK524341 VIG524336:VIG524341 VSC524336:VSC524341 WBY524336:WBY524341 WLU524336:WLU524341 WVQ524336:WVQ524341 I589872:I589877 JE589872:JE589877 TA589872:TA589877 ACW589872:ACW589877 AMS589872:AMS589877 AWO589872:AWO589877 BGK589872:BGK589877 BQG589872:BQG589877 CAC589872:CAC589877 CJY589872:CJY589877 CTU589872:CTU589877 DDQ589872:DDQ589877 DNM589872:DNM589877 DXI589872:DXI589877 EHE589872:EHE589877 ERA589872:ERA589877 FAW589872:FAW589877 FKS589872:FKS589877 FUO589872:FUO589877 GEK589872:GEK589877 GOG589872:GOG589877 GYC589872:GYC589877 HHY589872:HHY589877 HRU589872:HRU589877 IBQ589872:IBQ589877 ILM589872:ILM589877 IVI589872:IVI589877 JFE589872:JFE589877 JPA589872:JPA589877 JYW589872:JYW589877 KIS589872:KIS589877 KSO589872:KSO589877 LCK589872:LCK589877 LMG589872:LMG589877 LWC589872:LWC589877 MFY589872:MFY589877 MPU589872:MPU589877 MZQ589872:MZQ589877 NJM589872:NJM589877 NTI589872:NTI589877 ODE589872:ODE589877 ONA589872:ONA589877 OWW589872:OWW589877 PGS589872:PGS589877 PQO589872:PQO589877 QAK589872:QAK589877 QKG589872:QKG589877 QUC589872:QUC589877 RDY589872:RDY589877 RNU589872:RNU589877 RXQ589872:RXQ589877 SHM589872:SHM589877 SRI589872:SRI589877 TBE589872:TBE589877 TLA589872:TLA589877 TUW589872:TUW589877 UES589872:UES589877 UOO589872:UOO589877 UYK589872:UYK589877 VIG589872:VIG589877 VSC589872:VSC589877 WBY589872:WBY589877 WLU589872:WLU589877 WVQ589872:WVQ589877 I655408:I655413 JE655408:JE655413 TA655408:TA655413 ACW655408:ACW655413 AMS655408:AMS655413 AWO655408:AWO655413 BGK655408:BGK655413 BQG655408:BQG655413 CAC655408:CAC655413 CJY655408:CJY655413 CTU655408:CTU655413 DDQ655408:DDQ655413 DNM655408:DNM655413 DXI655408:DXI655413 EHE655408:EHE655413 ERA655408:ERA655413 FAW655408:FAW655413 FKS655408:FKS655413 FUO655408:FUO655413 GEK655408:GEK655413 GOG655408:GOG655413 GYC655408:GYC655413 HHY655408:HHY655413 HRU655408:HRU655413 IBQ655408:IBQ655413 ILM655408:ILM655413 IVI655408:IVI655413 JFE655408:JFE655413 JPA655408:JPA655413 JYW655408:JYW655413 KIS655408:KIS655413 KSO655408:KSO655413 LCK655408:LCK655413 LMG655408:LMG655413 LWC655408:LWC655413 MFY655408:MFY655413 MPU655408:MPU655413 MZQ655408:MZQ655413 NJM655408:NJM655413 NTI655408:NTI655413 ODE655408:ODE655413 ONA655408:ONA655413 OWW655408:OWW655413 PGS655408:PGS655413 PQO655408:PQO655413 QAK655408:QAK655413 QKG655408:QKG655413 QUC655408:QUC655413 RDY655408:RDY655413 RNU655408:RNU655413 RXQ655408:RXQ655413 SHM655408:SHM655413 SRI655408:SRI655413 TBE655408:TBE655413 TLA655408:TLA655413 TUW655408:TUW655413 UES655408:UES655413 UOO655408:UOO655413 UYK655408:UYK655413 VIG655408:VIG655413 VSC655408:VSC655413 WBY655408:WBY655413 WLU655408:WLU655413 WVQ655408:WVQ655413 I720944:I720949 JE720944:JE720949 TA720944:TA720949 ACW720944:ACW720949 AMS720944:AMS720949 AWO720944:AWO720949 BGK720944:BGK720949 BQG720944:BQG720949 CAC720944:CAC720949 CJY720944:CJY720949 CTU720944:CTU720949 DDQ720944:DDQ720949 DNM720944:DNM720949 DXI720944:DXI720949 EHE720944:EHE720949 ERA720944:ERA720949 FAW720944:FAW720949 FKS720944:FKS720949 FUO720944:FUO720949 GEK720944:GEK720949 GOG720944:GOG720949 GYC720944:GYC720949 HHY720944:HHY720949 HRU720944:HRU720949 IBQ720944:IBQ720949 ILM720944:ILM720949 IVI720944:IVI720949 JFE720944:JFE720949 JPA720944:JPA720949 JYW720944:JYW720949 KIS720944:KIS720949 KSO720944:KSO720949 LCK720944:LCK720949 LMG720944:LMG720949 LWC720944:LWC720949 MFY720944:MFY720949 MPU720944:MPU720949 MZQ720944:MZQ720949 NJM720944:NJM720949 NTI720944:NTI720949 ODE720944:ODE720949 ONA720944:ONA720949 OWW720944:OWW720949 PGS720944:PGS720949 PQO720944:PQO720949 QAK720944:QAK720949 QKG720944:QKG720949 QUC720944:QUC720949 RDY720944:RDY720949 RNU720944:RNU720949 RXQ720944:RXQ720949 SHM720944:SHM720949 SRI720944:SRI720949 TBE720944:TBE720949 TLA720944:TLA720949 TUW720944:TUW720949 UES720944:UES720949 UOO720944:UOO720949 UYK720944:UYK720949 VIG720944:VIG720949 VSC720944:VSC720949 WBY720944:WBY720949 WLU720944:WLU720949 WVQ720944:WVQ720949 I786480:I786485 JE786480:JE786485 TA786480:TA786485 ACW786480:ACW786485 AMS786480:AMS786485 AWO786480:AWO786485 BGK786480:BGK786485 BQG786480:BQG786485 CAC786480:CAC786485 CJY786480:CJY786485 CTU786480:CTU786485 DDQ786480:DDQ786485 DNM786480:DNM786485 DXI786480:DXI786485 EHE786480:EHE786485 ERA786480:ERA786485 FAW786480:FAW786485 FKS786480:FKS786485 FUO786480:FUO786485 GEK786480:GEK786485 GOG786480:GOG786485 GYC786480:GYC786485 HHY786480:HHY786485 HRU786480:HRU786485 IBQ786480:IBQ786485 ILM786480:ILM786485 IVI786480:IVI786485 JFE786480:JFE786485 JPA786480:JPA786485 JYW786480:JYW786485 KIS786480:KIS786485 KSO786480:KSO786485 LCK786480:LCK786485 LMG786480:LMG786485 LWC786480:LWC786485 MFY786480:MFY786485 MPU786480:MPU786485 MZQ786480:MZQ786485 NJM786480:NJM786485 NTI786480:NTI786485 ODE786480:ODE786485 ONA786480:ONA786485 OWW786480:OWW786485 PGS786480:PGS786485 PQO786480:PQO786485 QAK786480:QAK786485 QKG786480:QKG786485 QUC786480:QUC786485 RDY786480:RDY786485 RNU786480:RNU786485 RXQ786480:RXQ786485 SHM786480:SHM786485 SRI786480:SRI786485 TBE786480:TBE786485 TLA786480:TLA786485 TUW786480:TUW786485 UES786480:UES786485 UOO786480:UOO786485 UYK786480:UYK786485 VIG786480:VIG786485 VSC786480:VSC786485 WBY786480:WBY786485 WLU786480:WLU786485 WVQ786480:WVQ786485 I852016:I852021 JE852016:JE852021 TA852016:TA852021 ACW852016:ACW852021 AMS852016:AMS852021 AWO852016:AWO852021 BGK852016:BGK852021 BQG852016:BQG852021 CAC852016:CAC852021 CJY852016:CJY852021 CTU852016:CTU852021 DDQ852016:DDQ852021 DNM852016:DNM852021 DXI852016:DXI852021 EHE852016:EHE852021 ERA852016:ERA852021 FAW852016:FAW852021 FKS852016:FKS852021 FUO852016:FUO852021 GEK852016:GEK852021 GOG852016:GOG852021 GYC852016:GYC852021 HHY852016:HHY852021 HRU852016:HRU852021 IBQ852016:IBQ852021 ILM852016:ILM852021 IVI852016:IVI852021 JFE852016:JFE852021 JPA852016:JPA852021 JYW852016:JYW852021 KIS852016:KIS852021 KSO852016:KSO852021 LCK852016:LCK852021 LMG852016:LMG852021 LWC852016:LWC852021 MFY852016:MFY852021 MPU852016:MPU852021 MZQ852016:MZQ852021 NJM852016:NJM852021 NTI852016:NTI852021 ODE852016:ODE852021 ONA852016:ONA852021 OWW852016:OWW852021 PGS852016:PGS852021 PQO852016:PQO852021 QAK852016:QAK852021 QKG852016:QKG852021 QUC852016:QUC852021 RDY852016:RDY852021 RNU852016:RNU852021 RXQ852016:RXQ852021 SHM852016:SHM852021 SRI852016:SRI852021 TBE852016:TBE852021 TLA852016:TLA852021 TUW852016:TUW852021 UES852016:UES852021 UOO852016:UOO852021 UYK852016:UYK852021 VIG852016:VIG852021 VSC852016:VSC852021 WBY852016:WBY852021 WLU852016:WLU852021 WVQ852016:WVQ852021 I917552:I917557 JE917552:JE917557 TA917552:TA917557 ACW917552:ACW917557 AMS917552:AMS917557 AWO917552:AWO917557 BGK917552:BGK917557 BQG917552:BQG917557 CAC917552:CAC917557 CJY917552:CJY917557 CTU917552:CTU917557 DDQ917552:DDQ917557 DNM917552:DNM917557 DXI917552:DXI917557 EHE917552:EHE917557 ERA917552:ERA917557 FAW917552:FAW917557 FKS917552:FKS917557 FUO917552:FUO917557 GEK917552:GEK917557 GOG917552:GOG917557 GYC917552:GYC917557 HHY917552:HHY917557 HRU917552:HRU917557 IBQ917552:IBQ917557 ILM917552:ILM917557 IVI917552:IVI917557 JFE917552:JFE917557 JPA917552:JPA917557 JYW917552:JYW917557 KIS917552:KIS917557 KSO917552:KSO917557 LCK917552:LCK917557 LMG917552:LMG917557 LWC917552:LWC917557 MFY917552:MFY917557 MPU917552:MPU917557 MZQ917552:MZQ917557 NJM917552:NJM917557 NTI917552:NTI917557 ODE917552:ODE917557 ONA917552:ONA917557 OWW917552:OWW917557 PGS917552:PGS917557 PQO917552:PQO917557 QAK917552:QAK917557 QKG917552:QKG917557 QUC917552:QUC917557 RDY917552:RDY917557 RNU917552:RNU917557 RXQ917552:RXQ917557 SHM917552:SHM917557 SRI917552:SRI917557 TBE917552:TBE917557 TLA917552:TLA917557 TUW917552:TUW917557 UES917552:UES917557 UOO917552:UOO917557 UYK917552:UYK917557 VIG917552:VIG917557 VSC917552:VSC917557 WBY917552:WBY917557 WLU917552:WLU917557 WVQ917552:WVQ917557 I983088:I983093 JE983088:JE983093 TA983088:TA983093 ACW983088:ACW983093 AMS983088:AMS983093 AWO983088:AWO983093 BGK983088:BGK983093 BQG983088:BQG983093 CAC983088:CAC983093 CJY983088:CJY983093 CTU983088:CTU983093 DDQ983088:DDQ983093 DNM983088:DNM983093 DXI983088:DXI983093 EHE983088:EHE983093 ERA983088:ERA983093 FAW983088:FAW983093 FKS983088:FKS983093 FUO983088:FUO983093 GEK983088:GEK983093 GOG983088:GOG983093 GYC983088:GYC983093 HHY983088:HHY983093 HRU983088:HRU983093 IBQ983088:IBQ983093 ILM983088:ILM983093 IVI983088:IVI983093 JFE983088:JFE983093 JPA983088:JPA983093 JYW983088:JYW983093 KIS983088:KIS983093 KSO983088:KSO983093 LCK983088:LCK983093 LMG983088:LMG983093 LWC983088:LWC983093 MFY983088:MFY983093 MPU983088:MPU983093 MZQ983088:MZQ983093 NJM983088:NJM983093 NTI983088:NTI983093 ODE983088:ODE983093 ONA983088:ONA983093 OWW983088:OWW983093 PGS983088:PGS983093 PQO983088:PQO983093 QAK983088:QAK983093 QKG983088:QKG983093 QUC983088:QUC983093 RDY983088:RDY983093 RNU983088:RNU983093 RXQ983088:RXQ983093 SHM983088:SHM983093 SRI983088:SRI983093 TBE983088:TBE983093 TLA983088:TLA983093 TUW983088:TUW983093 UES983088:UES983093 UOO983088:UOO983093 UYK983088:UYK983093 VIG983088:VIG983093 VSC983088:VSC983093 WBY983088:WBY983093 WLU983088:WLU983093 WVQ983088:WVQ983093 F48:F53 JB48:JB53 SX48:SX53 ACT48:ACT53 AMP48:AMP53 AWL48:AWL53 BGH48:BGH53 BQD48:BQD53 BZZ48:BZZ53 CJV48:CJV53 CTR48:CTR53 DDN48:DDN53 DNJ48:DNJ53 DXF48:DXF53 EHB48:EHB53 EQX48:EQX53 FAT48:FAT53 FKP48:FKP53 FUL48:FUL53 GEH48:GEH53 GOD48:GOD53 GXZ48:GXZ53 HHV48:HHV53 HRR48:HRR53 IBN48:IBN53 ILJ48:ILJ53 IVF48:IVF53 JFB48:JFB53 JOX48:JOX53 JYT48:JYT53 KIP48:KIP53 KSL48:KSL53 LCH48:LCH53 LMD48:LMD53 LVZ48:LVZ53 MFV48:MFV53 MPR48:MPR53 MZN48:MZN53 NJJ48:NJJ53 NTF48:NTF53 ODB48:ODB53 OMX48:OMX53 OWT48:OWT53 PGP48:PGP53 PQL48:PQL53 QAH48:QAH53 QKD48:QKD53 QTZ48:QTZ53 RDV48:RDV53 RNR48:RNR53 RXN48:RXN53 SHJ48:SHJ53 SRF48:SRF53 TBB48:TBB53 TKX48:TKX53 TUT48:TUT53 UEP48:UEP53 UOL48:UOL53 UYH48:UYH53 VID48:VID53 VRZ48:VRZ53 WBV48:WBV53 WLR48:WLR53 WVN48:WVN53 F65584:F65589 JB65584:JB65589 SX65584:SX65589 ACT65584:ACT65589 AMP65584:AMP65589 AWL65584:AWL65589 BGH65584:BGH65589 BQD65584:BQD65589 BZZ65584:BZZ65589 CJV65584:CJV65589 CTR65584:CTR65589 DDN65584:DDN65589 DNJ65584:DNJ65589 DXF65584:DXF65589 EHB65584:EHB65589 EQX65584:EQX65589 FAT65584:FAT65589 FKP65584:FKP65589 FUL65584:FUL65589 GEH65584:GEH65589 GOD65584:GOD65589 GXZ65584:GXZ65589 HHV65584:HHV65589 HRR65584:HRR65589 IBN65584:IBN65589 ILJ65584:ILJ65589 IVF65584:IVF65589 JFB65584:JFB65589 JOX65584:JOX65589 JYT65584:JYT65589 KIP65584:KIP65589 KSL65584:KSL65589 LCH65584:LCH65589 LMD65584:LMD65589 LVZ65584:LVZ65589 MFV65584:MFV65589 MPR65584:MPR65589 MZN65584:MZN65589 NJJ65584:NJJ65589 NTF65584:NTF65589 ODB65584:ODB65589 OMX65584:OMX65589 OWT65584:OWT65589 PGP65584:PGP65589 PQL65584:PQL65589 QAH65584:QAH65589 QKD65584:QKD65589 QTZ65584:QTZ65589 RDV65584:RDV65589 RNR65584:RNR65589 RXN65584:RXN65589 SHJ65584:SHJ65589 SRF65584:SRF65589 TBB65584:TBB65589 TKX65584:TKX65589 TUT65584:TUT65589 UEP65584:UEP65589 UOL65584:UOL65589 UYH65584:UYH65589 VID65584:VID65589 VRZ65584:VRZ65589 WBV65584:WBV65589 WLR65584:WLR65589 WVN65584:WVN65589 F131120:F131125 JB131120:JB131125 SX131120:SX131125 ACT131120:ACT131125 AMP131120:AMP131125 AWL131120:AWL131125 BGH131120:BGH131125 BQD131120:BQD131125 BZZ131120:BZZ131125 CJV131120:CJV131125 CTR131120:CTR131125 DDN131120:DDN131125 DNJ131120:DNJ131125 DXF131120:DXF131125 EHB131120:EHB131125 EQX131120:EQX131125 FAT131120:FAT131125 FKP131120:FKP131125 FUL131120:FUL131125 GEH131120:GEH131125 GOD131120:GOD131125 GXZ131120:GXZ131125 HHV131120:HHV131125 HRR131120:HRR131125 IBN131120:IBN131125 ILJ131120:ILJ131125 IVF131120:IVF131125 JFB131120:JFB131125 JOX131120:JOX131125 JYT131120:JYT131125 KIP131120:KIP131125 KSL131120:KSL131125 LCH131120:LCH131125 LMD131120:LMD131125 LVZ131120:LVZ131125 MFV131120:MFV131125 MPR131120:MPR131125 MZN131120:MZN131125 NJJ131120:NJJ131125 NTF131120:NTF131125 ODB131120:ODB131125 OMX131120:OMX131125 OWT131120:OWT131125 PGP131120:PGP131125 PQL131120:PQL131125 QAH131120:QAH131125 QKD131120:QKD131125 QTZ131120:QTZ131125 RDV131120:RDV131125 RNR131120:RNR131125 RXN131120:RXN131125 SHJ131120:SHJ131125 SRF131120:SRF131125 TBB131120:TBB131125 TKX131120:TKX131125 TUT131120:TUT131125 UEP131120:UEP131125 UOL131120:UOL131125 UYH131120:UYH131125 VID131120:VID131125 VRZ131120:VRZ131125 WBV131120:WBV131125 WLR131120:WLR131125 WVN131120:WVN131125 F196656:F196661 JB196656:JB196661 SX196656:SX196661 ACT196656:ACT196661 AMP196656:AMP196661 AWL196656:AWL196661 BGH196656:BGH196661 BQD196656:BQD196661 BZZ196656:BZZ196661 CJV196656:CJV196661 CTR196656:CTR196661 DDN196656:DDN196661 DNJ196656:DNJ196661 DXF196656:DXF196661 EHB196656:EHB196661 EQX196656:EQX196661 FAT196656:FAT196661 FKP196656:FKP196661 FUL196656:FUL196661 GEH196656:GEH196661 GOD196656:GOD196661 GXZ196656:GXZ196661 HHV196656:HHV196661 HRR196656:HRR196661 IBN196656:IBN196661 ILJ196656:ILJ196661 IVF196656:IVF196661 JFB196656:JFB196661 JOX196656:JOX196661 JYT196656:JYT196661 KIP196656:KIP196661 KSL196656:KSL196661 LCH196656:LCH196661 LMD196656:LMD196661 LVZ196656:LVZ196661 MFV196656:MFV196661 MPR196656:MPR196661 MZN196656:MZN196661 NJJ196656:NJJ196661 NTF196656:NTF196661 ODB196656:ODB196661 OMX196656:OMX196661 OWT196656:OWT196661 PGP196656:PGP196661 PQL196656:PQL196661 QAH196656:QAH196661 QKD196656:QKD196661 QTZ196656:QTZ196661 RDV196656:RDV196661 RNR196656:RNR196661 RXN196656:RXN196661 SHJ196656:SHJ196661 SRF196656:SRF196661 TBB196656:TBB196661 TKX196656:TKX196661 TUT196656:TUT196661 UEP196656:UEP196661 UOL196656:UOL196661 UYH196656:UYH196661 VID196656:VID196661 VRZ196656:VRZ196661 WBV196656:WBV196661 WLR196656:WLR196661 WVN196656:WVN196661 F262192:F262197 JB262192:JB262197 SX262192:SX262197 ACT262192:ACT262197 AMP262192:AMP262197 AWL262192:AWL262197 BGH262192:BGH262197 BQD262192:BQD262197 BZZ262192:BZZ262197 CJV262192:CJV262197 CTR262192:CTR262197 DDN262192:DDN262197 DNJ262192:DNJ262197 DXF262192:DXF262197 EHB262192:EHB262197 EQX262192:EQX262197 FAT262192:FAT262197 FKP262192:FKP262197 FUL262192:FUL262197 GEH262192:GEH262197 GOD262192:GOD262197 GXZ262192:GXZ262197 HHV262192:HHV262197 HRR262192:HRR262197 IBN262192:IBN262197 ILJ262192:ILJ262197 IVF262192:IVF262197 JFB262192:JFB262197 JOX262192:JOX262197 JYT262192:JYT262197 KIP262192:KIP262197 KSL262192:KSL262197 LCH262192:LCH262197 LMD262192:LMD262197 LVZ262192:LVZ262197 MFV262192:MFV262197 MPR262192:MPR262197 MZN262192:MZN262197 NJJ262192:NJJ262197 NTF262192:NTF262197 ODB262192:ODB262197 OMX262192:OMX262197 OWT262192:OWT262197 PGP262192:PGP262197 PQL262192:PQL262197 QAH262192:QAH262197 QKD262192:QKD262197 QTZ262192:QTZ262197 RDV262192:RDV262197 RNR262192:RNR262197 RXN262192:RXN262197 SHJ262192:SHJ262197 SRF262192:SRF262197 TBB262192:TBB262197 TKX262192:TKX262197 TUT262192:TUT262197 UEP262192:UEP262197 UOL262192:UOL262197 UYH262192:UYH262197 VID262192:VID262197 VRZ262192:VRZ262197 WBV262192:WBV262197 WLR262192:WLR262197 WVN262192:WVN262197 F327728:F327733 JB327728:JB327733 SX327728:SX327733 ACT327728:ACT327733 AMP327728:AMP327733 AWL327728:AWL327733 BGH327728:BGH327733 BQD327728:BQD327733 BZZ327728:BZZ327733 CJV327728:CJV327733 CTR327728:CTR327733 DDN327728:DDN327733 DNJ327728:DNJ327733 DXF327728:DXF327733 EHB327728:EHB327733 EQX327728:EQX327733 FAT327728:FAT327733 FKP327728:FKP327733 FUL327728:FUL327733 GEH327728:GEH327733 GOD327728:GOD327733 GXZ327728:GXZ327733 HHV327728:HHV327733 HRR327728:HRR327733 IBN327728:IBN327733 ILJ327728:ILJ327733 IVF327728:IVF327733 JFB327728:JFB327733 JOX327728:JOX327733 JYT327728:JYT327733 KIP327728:KIP327733 KSL327728:KSL327733 LCH327728:LCH327733 LMD327728:LMD327733 LVZ327728:LVZ327733 MFV327728:MFV327733 MPR327728:MPR327733 MZN327728:MZN327733 NJJ327728:NJJ327733 NTF327728:NTF327733 ODB327728:ODB327733 OMX327728:OMX327733 OWT327728:OWT327733 PGP327728:PGP327733 PQL327728:PQL327733 QAH327728:QAH327733 QKD327728:QKD327733 QTZ327728:QTZ327733 RDV327728:RDV327733 RNR327728:RNR327733 RXN327728:RXN327733 SHJ327728:SHJ327733 SRF327728:SRF327733 TBB327728:TBB327733 TKX327728:TKX327733 TUT327728:TUT327733 UEP327728:UEP327733 UOL327728:UOL327733 UYH327728:UYH327733 VID327728:VID327733 VRZ327728:VRZ327733 WBV327728:WBV327733 WLR327728:WLR327733 WVN327728:WVN327733 F393264:F393269 JB393264:JB393269 SX393264:SX393269 ACT393264:ACT393269 AMP393264:AMP393269 AWL393264:AWL393269 BGH393264:BGH393269 BQD393264:BQD393269 BZZ393264:BZZ393269 CJV393264:CJV393269 CTR393264:CTR393269 DDN393264:DDN393269 DNJ393264:DNJ393269 DXF393264:DXF393269 EHB393264:EHB393269 EQX393264:EQX393269 FAT393264:FAT393269 FKP393264:FKP393269 FUL393264:FUL393269 GEH393264:GEH393269 GOD393264:GOD393269 GXZ393264:GXZ393269 HHV393264:HHV393269 HRR393264:HRR393269 IBN393264:IBN393269 ILJ393264:ILJ393269 IVF393264:IVF393269 JFB393264:JFB393269 JOX393264:JOX393269 JYT393264:JYT393269 KIP393264:KIP393269 KSL393264:KSL393269 LCH393264:LCH393269 LMD393264:LMD393269 LVZ393264:LVZ393269 MFV393264:MFV393269 MPR393264:MPR393269 MZN393264:MZN393269 NJJ393264:NJJ393269 NTF393264:NTF393269 ODB393264:ODB393269 OMX393264:OMX393269 OWT393264:OWT393269 PGP393264:PGP393269 PQL393264:PQL393269 QAH393264:QAH393269 QKD393264:QKD393269 QTZ393264:QTZ393269 RDV393264:RDV393269 RNR393264:RNR393269 RXN393264:RXN393269 SHJ393264:SHJ393269 SRF393264:SRF393269 TBB393264:TBB393269 TKX393264:TKX393269 TUT393264:TUT393269 UEP393264:UEP393269 UOL393264:UOL393269 UYH393264:UYH393269 VID393264:VID393269 VRZ393264:VRZ393269 WBV393264:WBV393269 WLR393264:WLR393269 WVN393264:WVN393269 F458800:F458805 JB458800:JB458805 SX458800:SX458805 ACT458800:ACT458805 AMP458800:AMP458805 AWL458800:AWL458805 BGH458800:BGH458805 BQD458800:BQD458805 BZZ458800:BZZ458805 CJV458800:CJV458805 CTR458800:CTR458805 DDN458800:DDN458805 DNJ458800:DNJ458805 DXF458800:DXF458805 EHB458800:EHB458805 EQX458800:EQX458805 FAT458800:FAT458805 FKP458800:FKP458805 FUL458800:FUL458805 GEH458800:GEH458805 GOD458800:GOD458805 GXZ458800:GXZ458805 HHV458800:HHV458805 HRR458800:HRR458805 IBN458800:IBN458805 ILJ458800:ILJ458805 IVF458800:IVF458805 JFB458800:JFB458805 JOX458800:JOX458805 JYT458800:JYT458805 KIP458800:KIP458805 KSL458800:KSL458805 LCH458800:LCH458805 LMD458800:LMD458805 LVZ458800:LVZ458805 MFV458800:MFV458805 MPR458800:MPR458805 MZN458800:MZN458805 NJJ458800:NJJ458805 NTF458800:NTF458805 ODB458800:ODB458805 OMX458800:OMX458805 OWT458800:OWT458805 PGP458800:PGP458805 PQL458800:PQL458805 QAH458800:QAH458805 QKD458800:QKD458805 QTZ458800:QTZ458805 RDV458800:RDV458805 RNR458800:RNR458805 RXN458800:RXN458805 SHJ458800:SHJ458805 SRF458800:SRF458805 TBB458800:TBB458805 TKX458800:TKX458805 TUT458800:TUT458805 UEP458800:UEP458805 UOL458800:UOL458805 UYH458800:UYH458805 VID458800:VID458805 VRZ458800:VRZ458805 WBV458800:WBV458805 WLR458800:WLR458805 WVN458800:WVN458805 F524336:F524341 JB524336:JB524341 SX524336:SX524341 ACT524336:ACT524341 AMP524336:AMP524341 AWL524336:AWL524341 BGH524336:BGH524341 BQD524336:BQD524341 BZZ524336:BZZ524341 CJV524336:CJV524341 CTR524336:CTR524341 DDN524336:DDN524341 DNJ524336:DNJ524341 DXF524336:DXF524341 EHB524336:EHB524341 EQX524336:EQX524341 FAT524336:FAT524341 FKP524336:FKP524341 FUL524336:FUL524341 GEH524336:GEH524341 GOD524336:GOD524341 GXZ524336:GXZ524341 HHV524336:HHV524341 HRR524336:HRR524341 IBN524336:IBN524341 ILJ524336:ILJ524341 IVF524336:IVF524341 JFB524336:JFB524341 JOX524336:JOX524341 JYT524336:JYT524341 KIP524336:KIP524341 KSL524336:KSL524341 LCH524336:LCH524341 LMD524336:LMD524341 LVZ524336:LVZ524341 MFV524336:MFV524341 MPR524336:MPR524341 MZN524336:MZN524341 NJJ524336:NJJ524341 NTF524336:NTF524341 ODB524336:ODB524341 OMX524336:OMX524341 OWT524336:OWT524341 PGP524336:PGP524341 PQL524336:PQL524341 QAH524336:QAH524341 QKD524336:QKD524341 QTZ524336:QTZ524341 RDV524336:RDV524341 RNR524336:RNR524341 RXN524336:RXN524341 SHJ524336:SHJ524341 SRF524336:SRF524341 TBB524336:TBB524341 TKX524336:TKX524341 TUT524336:TUT524341 UEP524336:UEP524341 UOL524336:UOL524341 UYH524336:UYH524341 VID524336:VID524341 VRZ524336:VRZ524341 WBV524336:WBV524341 WLR524336:WLR524341 WVN524336:WVN524341 F589872:F589877 JB589872:JB589877 SX589872:SX589877 ACT589872:ACT589877 AMP589872:AMP589877 AWL589872:AWL589877 BGH589872:BGH589877 BQD589872:BQD589877 BZZ589872:BZZ589877 CJV589872:CJV589877 CTR589872:CTR589877 DDN589872:DDN589877 DNJ589872:DNJ589877 DXF589872:DXF589877 EHB589872:EHB589877 EQX589872:EQX589877 FAT589872:FAT589877 FKP589872:FKP589877 FUL589872:FUL589877 GEH589872:GEH589877 GOD589872:GOD589877 GXZ589872:GXZ589877 HHV589872:HHV589877 HRR589872:HRR589877 IBN589872:IBN589877 ILJ589872:ILJ589877 IVF589872:IVF589877 JFB589872:JFB589877 JOX589872:JOX589877 JYT589872:JYT589877 KIP589872:KIP589877 KSL589872:KSL589877 LCH589872:LCH589877 LMD589872:LMD589877 LVZ589872:LVZ589877 MFV589872:MFV589877 MPR589872:MPR589877 MZN589872:MZN589877 NJJ589872:NJJ589877 NTF589872:NTF589877 ODB589872:ODB589877 OMX589872:OMX589877 OWT589872:OWT589877 PGP589872:PGP589877 PQL589872:PQL589877 QAH589872:QAH589877 QKD589872:QKD589877 QTZ589872:QTZ589877 RDV589872:RDV589877 RNR589872:RNR589877 RXN589872:RXN589877 SHJ589872:SHJ589877 SRF589872:SRF589877 TBB589872:TBB589877 TKX589872:TKX589877 TUT589872:TUT589877 UEP589872:UEP589877 UOL589872:UOL589877 UYH589872:UYH589877 VID589872:VID589877 VRZ589872:VRZ589877 WBV589872:WBV589877 WLR589872:WLR589877 WVN589872:WVN589877 F655408:F655413 JB655408:JB655413 SX655408:SX655413 ACT655408:ACT655413 AMP655408:AMP655413 AWL655408:AWL655413 BGH655408:BGH655413 BQD655408:BQD655413 BZZ655408:BZZ655413 CJV655408:CJV655413 CTR655408:CTR655413 DDN655408:DDN655413 DNJ655408:DNJ655413 DXF655408:DXF655413 EHB655408:EHB655413 EQX655408:EQX655413 FAT655408:FAT655413 FKP655408:FKP655413 FUL655408:FUL655413 GEH655408:GEH655413 GOD655408:GOD655413 GXZ655408:GXZ655413 HHV655408:HHV655413 HRR655408:HRR655413 IBN655408:IBN655413 ILJ655408:ILJ655413 IVF655408:IVF655413 JFB655408:JFB655413 JOX655408:JOX655413 JYT655408:JYT655413 KIP655408:KIP655413 KSL655408:KSL655413 LCH655408:LCH655413 LMD655408:LMD655413 LVZ655408:LVZ655413 MFV655408:MFV655413 MPR655408:MPR655413 MZN655408:MZN655413 NJJ655408:NJJ655413 NTF655408:NTF655413 ODB655408:ODB655413 OMX655408:OMX655413 OWT655408:OWT655413 PGP655408:PGP655413 PQL655408:PQL655413 QAH655408:QAH655413 QKD655408:QKD655413 QTZ655408:QTZ655413 RDV655408:RDV655413 RNR655408:RNR655413 RXN655408:RXN655413 SHJ655408:SHJ655413 SRF655408:SRF655413 TBB655408:TBB655413 TKX655408:TKX655413 TUT655408:TUT655413 UEP655408:UEP655413 UOL655408:UOL655413 UYH655408:UYH655413 VID655408:VID655413 VRZ655408:VRZ655413 WBV655408:WBV655413 WLR655408:WLR655413 WVN655408:WVN655413 F720944:F720949 JB720944:JB720949 SX720944:SX720949 ACT720944:ACT720949 AMP720944:AMP720949 AWL720944:AWL720949 BGH720944:BGH720949 BQD720944:BQD720949 BZZ720944:BZZ720949 CJV720944:CJV720949 CTR720944:CTR720949 DDN720944:DDN720949 DNJ720944:DNJ720949 DXF720944:DXF720949 EHB720944:EHB720949 EQX720944:EQX720949 FAT720944:FAT720949 FKP720944:FKP720949 FUL720944:FUL720949 GEH720944:GEH720949 GOD720944:GOD720949 GXZ720944:GXZ720949 HHV720944:HHV720949 HRR720944:HRR720949 IBN720944:IBN720949 ILJ720944:ILJ720949 IVF720944:IVF720949 JFB720944:JFB720949 JOX720944:JOX720949 JYT720944:JYT720949 KIP720944:KIP720949 KSL720944:KSL720949 LCH720944:LCH720949 LMD720944:LMD720949 LVZ720944:LVZ720949 MFV720944:MFV720949 MPR720944:MPR720949 MZN720944:MZN720949 NJJ720944:NJJ720949 NTF720944:NTF720949 ODB720944:ODB720949 OMX720944:OMX720949 OWT720944:OWT720949 PGP720944:PGP720949 PQL720944:PQL720949 QAH720944:QAH720949 QKD720944:QKD720949 QTZ720944:QTZ720949 RDV720944:RDV720949 RNR720944:RNR720949 RXN720944:RXN720949 SHJ720944:SHJ720949 SRF720944:SRF720949 TBB720944:TBB720949 TKX720944:TKX720949 TUT720944:TUT720949 UEP720944:UEP720949 UOL720944:UOL720949 UYH720944:UYH720949 VID720944:VID720949 VRZ720944:VRZ720949 WBV720944:WBV720949 WLR720944:WLR720949 WVN720944:WVN720949 F786480:F786485 JB786480:JB786485 SX786480:SX786485 ACT786480:ACT786485 AMP786480:AMP786485 AWL786480:AWL786485 BGH786480:BGH786485 BQD786480:BQD786485 BZZ786480:BZZ786485 CJV786480:CJV786485 CTR786480:CTR786485 DDN786480:DDN786485 DNJ786480:DNJ786485 DXF786480:DXF786485 EHB786480:EHB786485 EQX786480:EQX786485 FAT786480:FAT786485 FKP786480:FKP786485 FUL786480:FUL786485 GEH786480:GEH786485 GOD786480:GOD786485 GXZ786480:GXZ786485 HHV786480:HHV786485 HRR786480:HRR786485 IBN786480:IBN786485 ILJ786480:ILJ786485 IVF786480:IVF786485 JFB786480:JFB786485 JOX786480:JOX786485 JYT786480:JYT786485 KIP786480:KIP786485 KSL786480:KSL786485 LCH786480:LCH786485 LMD786480:LMD786485 LVZ786480:LVZ786485 MFV786480:MFV786485 MPR786480:MPR786485 MZN786480:MZN786485 NJJ786480:NJJ786485 NTF786480:NTF786485 ODB786480:ODB786485 OMX786480:OMX786485 OWT786480:OWT786485 PGP786480:PGP786485 PQL786480:PQL786485 QAH786480:QAH786485 QKD786480:QKD786485 QTZ786480:QTZ786485 RDV786480:RDV786485 RNR786480:RNR786485 RXN786480:RXN786485 SHJ786480:SHJ786485 SRF786480:SRF786485 TBB786480:TBB786485 TKX786480:TKX786485 TUT786480:TUT786485 UEP786480:UEP786485 UOL786480:UOL786485 UYH786480:UYH786485 VID786480:VID786485 VRZ786480:VRZ786485 WBV786480:WBV786485 WLR786480:WLR786485 WVN786480:WVN786485 F852016:F852021 JB852016:JB852021 SX852016:SX852021 ACT852016:ACT852021 AMP852016:AMP852021 AWL852016:AWL852021 BGH852016:BGH852021 BQD852016:BQD852021 BZZ852016:BZZ852021 CJV852016:CJV852021 CTR852016:CTR852021 DDN852016:DDN852021 DNJ852016:DNJ852021 DXF852016:DXF852021 EHB852016:EHB852021 EQX852016:EQX852021 FAT852016:FAT852021 FKP852016:FKP852021 FUL852016:FUL852021 GEH852016:GEH852021 GOD852016:GOD852021 GXZ852016:GXZ852021 HHV852016:HHV852021 HRR852016:HRR852021 IBN852016:IBN852021 ILJ852016:ILJ852021 IVF852016:IVF852021 JFB852016:JFB852021 JOX852016:JOX852021 JYT852016:JYT852021 KIP852016:KIP852021 KSL852016:KSL852021 LCH852016:LCH852021 LMD852016:LMD852021 LVZ852016:LVZ852021 MFV852016:MFV852021 MPR852016:MPR852021 MZN852016:MZN852021 NJJ852016:NJJ852021 NTF852016:NTF852021 ODB852016:ODB852021 OMX852016:OMX852021 OWT852016:OWT852021 PGP852016:PGP852021 PQL852016:PQL852021 QAH852016:QAH852021 QKD852016:QKD852021 QTZ852016:QTZ852021 RDV852016:RDV852021 RNR852016:RNR852021 RXN852016:RXN852021 SHJ852016:SHJ852021 SRF852016:SRF852021 TBB852016:TBB852021 TKX852016:TKX852021 TUT852016:TUT852021 UEP852016:UEP852021 UOL852016:UOL852021 UYH852016:UYH852021 VID852016:VID852021 VRZ852016:VRZ852021 WBV852016:WBV852021 WLR852016:WLR852021 WVN852016:WVN852021 F917552:F917557 JB917552:JB917557 SX917552:SX917557 ACT917552:ACT917557 AMP917552:AMP917557 AWL917552:AWL917557 BGH917552:BGH917557 BQD917552:BQD917557 BZZ917552:BZZ917557 CJV917552:CJV917557 CTR917552:CTR917557 DDN917552:DDN917557 DNJ917552:DNJ917557 DXF917552:DXF917557 EHB917552:EHB917557 EQX917552:EQX917557 FAT917552:FAT917557 FKP917552:FKP917557 FUL917552:FUL917557 GEH917552:GEH917557 GOD917552:GOD917557 GXZ917552:GXZ917557 HHV917552:HHV917557 HRR917552:HRR917557 IBN917552:IBN917557 ILJ917552:ILJ917557 IVF917552:IVF917557 JFB917552:JFB917557 JOX917552:JOX917557 JYT917552:JYT917557 KIP917552:KIP917557 KSL917552:KSL917557 LCH917552:LCH917557 LMD917552:LMD917557 LVZ917552:LVZ917557 MFV917552:MFV917557 MPR917552:MPR917557 MZN917552:MZN917557 NJJ917552:NJJ917557 NTF917552:NTF917557 ODB917552:ODB917557 OMX917552:OMX917557 OWT917552:OWT917557 PGP917552:PGP917557 PQL917552:PQL917557 QAH917552:QAH917557 QKD917552:QKD917557 QTZ917552:QTZ917557 RDV917552:RDV917557 RNR917552:RNR917557 RXN917552:RXN917557 SHJ917552:SHJ917557 SRF917552:SRF917557 TBB917552:TBB917557 TKX917552:TKX917557 TUT917552:TUT917557 UEP917552:UEP917557 UOL917552:UOL917557 UYH917552:UYH917557 VID917552:VID917557 VRZ917552:VRZ917557 WBV917552:WBV917557 WLR917552:WLR917557 WVN917552:WVN917557 F983088:F983093 JB983088:JB983093 SX983088:SX983093 ACT983088:ACT983093 AMP983088:AMP983093 AWL983088:AWL983093 BGH983088:BGH983093 BQD983088:BQD983093 BZZ983088:BZZ983093 CJV983088:CJV983093 CTR983088:CTR983093 DDN983088:DDN983093 DNJ983088:DNJ983093 DXF983088:DXF983093 EHB983088:EHB983093 EQX983088:EQX983093 FAT983088:FAT983093 FKP983088:FKP983093 FUL983088:FUL983093 GEH983088:GEH983093 GOD983088:GOD983093 GXZ983088:GXZ983093 HHV983088:HHV983093 HRR983088:HRR983093 IBN983088:IBN983093 ILJ983088:ILJ983093 IVF983088:IVF983093 JFB983088:JFB983093 JOX983088:JOX983093 JYT983088:JYT983093 KIP983088:KIP983093 KSL983088:KSL983093 LCH983088:LCH983093 LMD983088:LMD983093 LVZ983088:LVZ983093 MFV983088:MFV983093 MPR983088:MPR983093 MZN983088:MZN983093 NJJ983088:NJJ983093 NTF983088:NTF983093 ODB983088:ODB983093 OMX983088:OMX983093 OWT983088:OWT983093 PGP983088:PGP983093 PQL983088:PQL983093 QAH983088:QAH983093 QKD983088:QKD983093 QTZ983088:QTZ983093 RDV983088:RDV983093 RNR983088:RNR983093 RXN983088:RXN983093 SHJ983088:SHJ983093 SRF983088:SRF983093 TBB983088:TBB983093 TKX983088:TKX983093 TUT983088:TUT983093 UEP983088:UEP983093 UOL983088:UOL983093 UYH983088:UYH983093 VID983088:VID983093 VRZ983088:VRZ983093 WBV983088:WBV983093 WLR983088:WLR983093 WVN983088:WVN983093 I40:I45 JE40:JE45 TA40:TA45 ACW40:ACW45 AMS40:AMS45 AWO40:AWO45 BGK40:BGK45 BQG40:BQG45 CAC40:CAC45 CJY40:CJY45 CTU40:CTU45 DDQ40:DDQ45 DNM40:DNM45 DXI40:DXI45 EHE40:EHE45 ERA40:ERA45 FAW40:FAW45 FKS40:FKS45 FUO40:FUO45 GEK40:GEK45 GOG40:GOG45 GYC40:GYC45 HHY40:HHY45 HRU40:HRU45 IBQ40:IBQ45 ILM40:ILM45 IVI40:IVI45 JFE40:JFE45 JPA40:JPA45 JYW40:JYW45 KIS40:KIS45 KSO40:KSO45 LCK40:LCK45 LMG40:LMG45 LWC40:LWC45 MFY40:MFY45 MPU40:MPU45 MZQ40:MZQ45 NJM40:NJM45 NTI40:NTI45 ODE40:ODE45 ONA40:ONA45 OWW40:OWW45 PGS40:PGS45 PQO40:PQO45 QAK40:QAK45 QKG40:QKG45 QUC40:QUC45 RDY40:RDY45 RNU40:RNU45 RXQ40:RXQ45 SHM40:SHM45 SRI40:SRI45 TBE40:TBE45 TLA40:TLA45 TUW40:TUW45 UES40:UES45 UOO40:UOO45 UYK40:UYK45 VIG40:VIG45 VSC40:VSC45 WBY40:WBY45 WLU40:WLU45 WVQ40:WVQ45 I65576:I65581 JE65576:JE65581 TA65576:TA65581 ACW65576:ACW65581 AMS65576:AMS65581 AWO65576:AWO65581 BGK65576:BGK65581 BQG65576:BQG65581 CAC65576:CAC65581 CJY65576:CJY65581 CTU65576:CTU65581 DDQ65576:DDQ65581 DNM65576:DNM65581 DXI65576:DXI65581 EHE65576:EHE65581 ERA65576:ERA65581 FAW65576:FAW65581 FKS65576:FKS65581 FUO65576:FUO65581 GEK65576:GEK65581 GOG65576:GOG65581 GYC65576:GYC65581 HHY65576:HHY65581 HRU65576:HRU65581 IBQ65576:IBQ65581 ILM65576:ILM65581 IVI65576:IVI65581 JFE65576:JFE65581 JPA65576:JPA65581 JYW65576:JYW65581 KIS65576:KIS65581 KSO65576:KSO65581 LCK65576:LCK65581 LMG65576:LMG65581 LWC65576:LWC65581 MFY65576:MFY65581 MPU65576:MPU65581 MZQ65576:MZQ65581 NJM65576:NJM65581 NTI65576:NTI65581 ODE65576:ODE65581 ONA65576:ONA65581 OWW65576:OWW65581 PGS65576:PGS65581 PQO65576:PQO65581 QAK65576:QAK65581 QKG65576:QKG65581 QUC65576:QUC65581 RDY65576:RDY65581 RNU65576:RNU65581 RXQ65576:RXQ65581 SHM65576:SHM65581 SRI65576:SRI65581 TBE65576:TBE65581 TLA65576:TLA65581 TUW65576:TUW65581 UES65576:UES65581 UOO65576:UOO65581 UYK65576:UYK65581 VIG65576:VIG65581 VSC65576:VSC65581 WBY65576:WBY65581 WLU65576:WLU65581 WVQ65576:WVQ65581 I131112:I131117 JE131112:JE131117 TA131112:TA131117 ACW131112:ACW131117 AMS131112:AMS131117 AWO131112:AWO131117 BGK131112:BGK131117 BQG131112:BQG131117 CAC131112:CAC131117 CJY131112:CJY131117 CTU131112:CTU131117 DDQ131112:DDQ131117 DNM131112:DNM131117 DXI131112:DXI131117 EHE131112:EHE131117 ERA131112:ERA131117 FAW131112:FAW131117 FKS131112:FKS131117 FUO131112:FUO131117 GEK131112:GEK131117 GOG131112:GOG131117 GYC131112:GYC131117 HHY131112:HHY131117 HRU131112:HRU131117 IBQ131112:IBQ131117 ILM131112:ILM131117 IVI131112:IVI131117 JFE131112:JFE131117 JPA131112:JPA131117 JYW131112:JYW131117 KIS131112:KIS131117 KSO131112:KSO131117 LCK131112:LCK131117 LMG131112:LMG131117 LWC131112:LWC131117 MFY131112:MFY131117 MPU131112:MPU131117 MZQ131112:MZQ131117 NJM131112:NJM131117 NTI131112:NTI131117 ODE131112:ODE131117 ONA131112:ONA131117 OWW131112:OWW131117 PGS131112:PGS131117 PQO131112:PQO131117 QAK131112:QAK131117 QKG131112:QKG131117 QUC131112:QUC131117 RDY131112:RDY131117 RNU131112:RNU131117 RXQ131112:RXQ131117 SHM131112:SHM131117 SRI131112:SRI131117 TBE131112:TBE131117 TLA131112:TLA131117 TUW131112:TUW131117 UES131112:UES131117 UOO131112:UOO131117 UYK131112:UYK131117 VIG131112:VIG131117 VSC131112:VSC131117 WBY131112:WBY131117 WLU131112:WLU131117 WVQ131112:WVQ131117 I196648:I196653 JE196648:JE196653 TA196648:TA196653 ACW196648:ACW196653 AMS196648:AMS196653 AWO196648:AWO196653 BGK196648:BGK196653 BQG196648:BQG196653 CAC196648:CAC196653 CJY196648:CJY196653 CTU196648:CTU196653 DDQ196648:DDQ196653 DNM196648:DNM196653 DXI196648:DXI196653 EHE196648:EHE196653 ERA196648:ERA196653 FAW196648:FAW196653 FKS196648:FKS196653 FUO196648:FUO196653 GEK196648:GEK196653 GOG196648:GOG196653 GYC196648:GYC196653 HHY196648:HHY196653 HRU196648:HRU196653 IBQ196648:IBQ196653 ILM196648:ILM196653 IVI196648:IVI196653 JFE196648:JFE196653 JPA196648:JPA196653 JYW196648:JYW196653 KIS196648:KIS196653 KSO196648:KSO196653 LCK196648:LCK196653 LMG196648:LMG196653 LWC196648:LWC196653 MFY196648:MFY196653 MPU196648:MPU196653 MZQ196648:MZQ196653 NJM196648:NJM196653 NTI196648:NTI196653 ODE196648:ODE196653 ONA196648:ONA196653 OWW196648:OWW196653 PGS196648:PGS196653 PQO196648:PQO196653 QAK196648:QAK196653 QKG196648:QKG196653 QUC196648:QUC196653 RDY196648:RDY196653 RNU196648:RNU196653 RXQ196648:RXQ196653 SHM196648:SHM196653 SRI196648:SRI196653 TBE196648:TBE196653 TLA196648:TLA196653 TUW196648:TUW196653 UES196648:UES196653 UOO196648:UOO196653 UYK196648:UYK196653 VIG196648:VIG196653 VSC196648:VSC196653 WBY196648:WBY196653 WLU196648:WLU196653 WVQ196648:WVQ196653 I262184:I262189 JE262184:JE262189 TA262184:TA262189 ACW262184:ACW262189 AMS262184:AMS262189 AWO262184:AWO262189 BGK262184:BGK262189 BQG262184:BQG262189 CAC262184:CAC262189 CJY262184:CJY262189 CTU262184:CTU262189 DDQ262184:DDQ262189 DNM262184:DNM262189 DXI262184:DXI262189 EHE262184:EHE262189 ERA262184:ERA262189 FAW262184:FAW262189 FKS262184:FKS262189 FUO262184:FUO262189 GEK262184:GEK262189 GOG262184:GOG262189 GYC262184:GYC262189 HHY262184:HHY262189 HRU262184:HRU262189 IBQ262184:IBQ262189 ILM262184:ILM262189 IVI262184:IVI262189 JFE262184:JFE262189 JPA262184:JPA262189 JYW262184:JYW262189 KIS262184:KIS262189 KSO262184:KSO262189 LCK262184:LCK262189 LMG262184:LMG262189 LWC262184:LWC262189 MFY262184:MFY262189 MPU262184:MPU262189 MZQ262184:MZQ262189 NJM262184:NJM262189 NTI262184:NTI262189 ODE262184:ODE262189 ONA262184:ONA262189 OWW262184:OWW262189 PGS262184:PGS262189 PQO262184:PQO262189 QAK262184:QAK262189 QKG262184:QKG262189 QUC262184:QUC262189 RDY262184:RDY262189 RNU262184:RNU262189 RXQ262184:RXQ262189 SHM262184:SHM262189 SRI262184:SRI262189 TBE262184:TBE262189 TLA262184:TLA262189 TUW262184:TUW262189 UES262184:UES262189 UOO262184:UOO262189 UYK262184:UYK262189 VIG262184:VIG262189 VSC262184:VSC262189 WBY262184:WBY262189 WLU262184:WLU262189 WVQ262184:WVQ262189 I327720:I327725 JE327720:JE327725 TA327720:TA327725 ACW327720:ACW327725 AMS327720:AMS327725 AWO327720:AWO327725 BGK327720:BGK327725 BQG327720:BQG327725 CAC327720:CAC327725 CJY327720:CJY327725 CTU327720:CTU327725 DDQ327720:DDQ327725 DNM327720:DNM327725 DXI327720:DXI327725 EHE327720:EHE327725 ERA327720:ERA327725 FAW327720:FAW327725 FKS327720:FKS327725 FUO327720:FUO327725 GEK327720:GEK327725 GOG327720:GOG327725 GYC327720:GYC327725 HHY327720:HHY327725 HRU327720:HRU327725 IBQ327720:IBQ327725 ILM327720:ILM327725 IVI327720:IVI327725 JFE327720:JFE327725 JPA327720:JPA327725 JYW327720:JYW327725 KIS327720:KIS327725 KSO327720:KSO327725 LCK327720:LCK327725 LMG327720:LMG327725 LWC327720:LWC327725 MFY327720:MFY327725 MPU327720:MPU327725 MZQ327720:MZQ327725 NJM327720:NJM327725 NTI327720:NTI327725 ODE327720:ODE327725 ONA327720:ONA327725 OWW327720:OWW327725 PGS327720:PGS327725 PQO327720:PQO327725 QAK327720:QAK327725 QKG327720:QKG327725 QUC327720:QUC327725 RDY327720:RDY327725 RNU327720:RNU327725 RXQ327720:RXQ327725 SHM327720:SHM327725 SRI327720:SRI327725 TBE327720:TBE327725 TLA327720:TLA327725 TUW327720:TUW327725 UES327720:UES327725 UOO327720:UOO327725 UYK327720:UYK327725 VIG327720:VIG327725 VSC327720:VSC327725 WBY327720:WBY327725 WLU327720:WLU327725 WVQ327720:WVQ327725 I393256:I393261 JE393256:JE393261 TA393256:TA393261 ACW393256:ACW393261 AMS393256:AMS393261 AWO393256:AWO393261 BGK393256:BGK393261 BQG393256:BQG393261 CAC393256:CAC393261 CJY393256:CJY393261 CTU393256:CTU393261 DDQ393256:DDQ393261 DNM393256:DNM393261 DXI393256:DXI393261 EHE393256:EHE393261 ERA393256:ERA393261 FAW393256:FAW393261 FKS393256:FKS393261 FUO393256:FUO393261 GEK393256:GEK393261 GOG393256:GOG393261 GYC393256:GYC393261 HHY393256:HHY393261 HRU393256:HRU393261 IBQ393256:IBQ393261 ILM393256:ILM393261 IVI393256:IVI393261 JFE393256:JFE393261 JPA393256:JPA393261 JYW393256:JYW393261 KIS393256:KIS393261 KSO393256:KSO393261 LCK393256:LCK393261 LMG393256:LMG393261 LWC393256:LWC393261 MFY393256:MFY393261 MPU393256:MPU393261 MZQ393256:MZQ393261 NJM393256:NJM393261 NTI393256:NTI393261 ODE393256:ODE393261 ONA393256:ONA393261 OWW393256:OWW393261 PGS393256:PGS393261 PQO393256:PQO393261 QAK393256:QAK393261 QKG393256:QKG393261 QUC393256:QUC393261 RDY393256:RDY393261 RNU393256:RNU393261 RXQ393256:RXQ393261 SHM393256:SHM393261 SRI393256:SRI393261 TBE393256:TBE393261 TLA393256:TLA393261 TUW393256:TUW393261 UES393256:UES393261 UOO393256:UOO393261 UYK393256:UYK393261 VIG393256:VIG393261 VSC393256:VSC393261 WBY393256:WBY393261 WLU393256:WLU393261 WVQ393256:WVQ393261 I458792:I458797 JE458792:JE458797 TA458792:TA458797 ACW458792:ACW458797 AMS458792:AMS458797 AWO458792:AWO458797 BGK458792:BGK458797 BQG458792:BQG458797 CAC458792:CAC458797 CJY458792:CJY458797 CTU458792:CTU458797 DDQ458792:DDQ458797 DNM458792:DNM458797 DXI458792:DXI458797 EHE458792:EHE458797 ERA458792:ERA458797 FAW458792:FAW458797 FKS458792:FKS458797 FUO458792:FUO458797 GEK458792:GEK458797 GOG458792:GOG458797 GYC458792:GYC458797 HHY458792:HHY458797 HRU458792:HRU458797 IBQ458792:IBQ458797 ILM458792:ILM458797 IVI458792:IVI458797 JFE458792:JFE458797 JPA458792:JPA458797 JYW458792:JYW458797 KIS458792:KIS458797 KSO458792:KSO458797 LCK458792:LCK458797 LMG458792:LMG458797 LWC458792:LWC458797 MFY458792:MFY458797 MPU458792:MPU458797 MZQ458792:MZQ458797 NJM458792:NJM458797 NTI458792:NTI458797 ODE458792:ODE458797 ONA458792:ONA458797 OWW458792:OWW458797 PGS458792:PGS458797 PQO458792:PQO458797 QAK458792:QAK458797 QKG458792:QKG458797 QUC458792:QUC458797 RDY458792:RDY458797 RNU458792:RNU458797 RXQ458792:RXQ458797 SHM458792:SHM458797 SRI458792:SRI458797 TBE458792:TBE458797 TLA458792:TLA458797 TUW458792:TUW458797 UES458792:UES458797 UOO458792:UOO458797 UYK458792:UYK458797 VIG458792:VIG458797 VSC458792:VSC458797 WBY458792:WBY458797 WLU458792:WLU458797 WVQ458792:WVQ458797 I524328:I524333 JE524328:JE524333 TA524328:TA524333 ACW524328:ACW524333 AMS524328:AMS524333 AWO524328:AWO524333 BGK524328:BGK524333 BQG524328:BQG524333 CAC524328:CAC524333 CJY524328:CJY524333 CTU524328:CTU524333 DDQ524328:DDQ524333 DNM524328:DNM524333 DXI524328:DXI524333 EHE524328:EHE524333 ERA524328:ERA524333 FAW524328:FAW524333 FKS524328:FKS524333 FUO524328:FUO524333 GEK524328:GEK524333 GOG524328:GOG524333 GYC524328:GYC524333 HHY524328:HHY524333 HRU524328:HRU524333 IBQ524328:IBQ524333 ILM524328:ILM524333 IVI524328:IVI524333 JFE524328:JFE524333 JPA524328:JPA524333 JYW524328:JYW524333 KIS524328:KIS524333 KSO524328:KSO524333 LCK524328:LCK524333 LMG524328:LMG524333 LWC524328:LWC524333 MFY524328:MFY524333 MPU524328:MPU524333 MZQ524328:MZQ524333 NJM524328:NJM524333 NTI524328:NTI524333 ODE524328:ODE524333 ONA524328:ONA524333 OWW524328:OWW524333 PGS524328:PGS524333 PQO524328:PQO524333 QAK524328:QAK524333 QKG524328:QKG524333 QUC524328:QUC524333 RDY524328:RDY524333 RNU524328:RNU524333 RXQ524328:RXQ524333 SHM524328:SHM524333 SRI524328:SRI524333 TBE524328:TBE524333 TLA524328:TLA524333 TUW524328:TUW524333 UES524328:UES524333 UOO524328:UOO524333 UYK524328:UYK524333 VIG524328:VIG524333 VSC524328:VSC524333 WBY524328:WBY524333 WLU524328:WLU524333 WVQ524328:WVQ524333 I589864:I589869 JE589864:JE589869 TA589864:TA589869 ACW589864:ACW589869 AMS589864:AMS589869 AWO589864:AWO589869 BGK589864:BGK589869 BQG589864:BQG589869 CAC589864:CAC589869 CJY589864:CJY589869 CTU589864:CTU589869 DDQ589864:DDQ589869 DNM589864:DNM589869 DXI589864:DXI589869 EHE589864:EHE589869 ERA589864:ERA589869 FAW589864:FAW589869 FKS589864:FKS589869 FUO589864:FUO589869 GEK589864:GEK589869 GOG589864:GOG589869 GYC589864:GYC589869 HHY589864:HHY589869 HRU589864:HRU589869 IBQ589864:IBQ589869 ILM589864:ILM589869 IVI589864:IVI589869 JFE589864:JFE589869 JPA589864:JPA589869 JYW589864:JYW589869 KIS589864:KIS589869 KSO589864:KSO589869 LCK589864:LCK589869 LMG589864:LMG589869 LWC589864:LWC589869 MFY589864:MFY589869 MPU589864:MPU589869 MZQ589864:MZQ589869 NJM589864:NJM589869 NTI589864:NTI589869 ODE589864:ODE589869 ONA589864:ONA589869 OWW589864:OWW589869 PGS589864:PGS589869 PQO589864:PQO589869 QAK589864:QAK589869 QKG589864:QKG589869 QUC589864:QUC589869 RDY589864:RDY589869 RNU589864:RNU589869 RXQ589864:RXQ589869 SHM589864:SHM589869 SRI589864:SRI589869 TBE589864:TBE589869 TLA589864:TLA589869 TUW589864:TUW589869 UES589864:UES589869 UOO589864:UOO589869 UYK589864:UYK589869 VIG589864:VIG589869 VSC589864:VSC589869 WBY589864:WBY589869 WLU589864:WLU589869 WVQ589864:WVQ589869 I655400:I655405 JE655400:JE655405 TA655400:TA655405 ACW655400:ACW655405 AMS655400:AMS655405 AWO655400:AWO655405 BGK655400:BGK655405 BQG655400:BQG655405 CAC655400:CAC655405 CJY655400:CJY655405 CTU655400:CTU655405 DDQ655400:DDQ655405 DNM655400:DNM655405 DXI655400:DXI655405 EHE655400:EHE655405 ERA655400:ERA655405 FAW655400:FAW655405 FKS655400:FKS655405 FUO655400:FUO655405 GEK655400:GEK655405 GOG655400:GOG655405 GYC655400:GYC655405 HHY655400:HHY655405 HRU655400:HRU655405 IBQ655400:IBQ655405 ILM655400:ILM655405 IVI655400:IVI655405 JFE655400:JFE655405 JPA655400:JPA655405 JYW655400:JYW655405 KIS655400:KIS655405 KSO655400:KSO655405 LCK655400:LCK655405 LMG655400:LMG655405 LWC655400:LWC655405 MFY655400:MFY655405 MPU655400:MPU655405 MZQ655400:MZQ655405 NJM655400:NJM655405 NTI655400:NTI655405 ODE655400:ODE655405 ONA655400:ONA655405 OWW655400:OWW655405 PGS655400:PGS655405 PQO655400:PQO655405 QAK655400:QAK655405 QKG655400:QKG655405 QUC655400:QUC655405 RDY655400:RDY655405 RNU655400:RNU655405 RXQ655400:RXQ655405 SHM655400:SHM655405 SRI655400:SRI655405 TBE655400:TBE655405 TLA655400:TLA655405 TUW655400:TUW655405 UES655400:UES655405 UOO655400:UOO655405 UYK655400:UYK655405 VIG655400:VIG655405 VSC655400:VSC655405 WBY655400:WBY655405 WLU655400:WLU655405 WVQ655400:WVQ655405 I720936:I720941 JE720936:JE720941 TA720936:TA720941 ACW720936:ACW720941 AMS720936:AMS720941 AWO720936:AWO720941 BGK720936:BGK720941 BQG720936:BQG720941 CAC720936:CAC720941 CJY720936:CJY720941 CTU720936:CTU720941 DDQ720936:DDQ720941 DNM720936:DNM720941 DXI720936:DXI720941 EHE720936:EHE720941 ERA720936:ERA720941 FAW720936:FAW720941 FKS720936:FKS720941 FUO720936:FUO720941 GEK720936:GEK720941 GOG720936:GOG720941 GYC720936:GYC720941 HHY720936:HHY720941 HRU720936:HRU720941 IBQ720936:IBQ720941 ILM720936:ILM720941 IVI720936:IVI720941 JFE720936:JFE720941 JPA720936:JPA720941 JYW720936:JYW720941 KIS720936:KIS720941 KSO720936:KSO720941 LCK720936:LCK720941 LMG720936:LMG720941 LWC720936:LWC720941 MFY720936:MFY720941 MPU720936:MPU720941 MZQ720936:MZQ720941 NJM720936:NJM720941 NTI720936:NTI720941 ODE720936:ODE720941 ONA720936:ONA720941 OWW720936:OWW720941 PGS720936:PGS720941 PQO720936:PQO720941 QAK720936:QAK720941 QKG720936:QKG720941 QUC720936:QUC720941 RDY720936:RDY720941 RNU720936:RNU720941 RXQ720936:RXQ720941 SHM720936:SHM720941 SRI720936:SRI720941 TBE720936:TBE720941 TLA720936:TLA720941 TUW720936:TUW720941 UES720936:UES720941 UOO720936:UOO720941 UYK720936:UYK720941 VIG720936:VIG720941 VSC720936:VSC720941 WBY720936:WBY720941 WLU720936:WLU720941 WVQ720936:WVQ720941 I786472:I786477 JE786472:JE786477 TA786472:TA786477 ACW786472:ACW786477 AMS786472:AMS786477 AWO786472:AWO786477 BGK786472:BGK786477 BQG786472:BQG786477 CAC786472:CAC786477 CJY786472:CJY786477 CTU786472:CTU786477 DDQ786472:DDQ786477 DNM786472:DNM786477 DXI786472:DXI786477 EHE786472:EHE786477 ERA786472:ERA786477 FAW786472:FAW786477 FKS786472:FKS786477 FUO786472:FUO786477 GEK786472:GEK786477 GOG786472:GOG786477 GYC786472:GYC786477 HHY786472:HHY786477 HRU786472:HRU786477 IBQ786472:IBQ786477 ILM786472:ILM786477 IVI786472:IVI786477 JFE786472:JFE786477 JPA786472:JPA786477 JYW786472:JYW786477 KIS786472:KIS786477 KSO786472:KSO786477 LCK786472:LCK786477 LMG786472:LMG786477 LWC786472:LWC786477 MFY786472:MFY786477 MPU786472:MPU786477 MZQ786472:MZQ786477 NJM786472:NJM786477 NTI786472:NTI786477 ODE786472:ODE786477 ONA786472:ONA786477 OWW786472:OWW786477 PGS786472:PGS786477 PQO786472:PQO786477 QAK786472:QAK786477 QKG786472:QKG786477 QUC786472:QUC786477 RDY786472:RDY786477 RNU786472:RNU786477 RXQ786472:RXQ786477 SHM786472:SHM786477 SRI786472:SRI786477 TBE786472:TBE786477 TLA786472:TLA786477 TUW786472:TUW786477 UES786472:UES786477 UOO786472:UOO786477 UYK786472:UYK786477 VIG786472:VIG786477 VSC786472:VSC786477 WBY786472:WBY786477 WLU786472:WLU786477 WVQ786472:WVQ786477 I852008:I852013 JE852008:JE852013 TA852008:TA852013 ACW852008:ACW852013 AMS852008:AMS852013 AWO852008:AWO852013 BGK852008:BGK852013 BQG852008:BQG852013 CAC852008:CAC852013 CJY852008:CJY852013 CTU852008:CTU852013 DDQ852008:DDQ852013 DNM852008:DNM852013 DXI852008:DXI852013 EHE852008:EHE852013 ERA852008:ERA852013 FAW852008:FAW852013 FKS852008:FKS852013 FUO852008:FUO852013 GEK852008:GEK852013 GOG852008:GOG852013 GYC852008:GYC852013 HHY852008:HHY852013 HRU852008:HRU852013 IBQ852008:IBQ852013 ILM852008:ILM852013 IVI852008:IVI852013 JFE852008:JFE852013 JPA852008:JPA852013 JYW852008:JYW852013 KIS852008:KIS852013 KSO852008:KSO852013 LCK852008:LCK852013 LMG852008:LMG852013 LWC852008:LWC852013 MFY852008:MFY852013 MPU852008:MPU852013 MZQ852008:MZQ852013 NJM852008:NJM852013 NTI852008:NTI852013 ODE852008:ODE852013 ONA852008:ONA852013 OWW852008:OWW852013 PGS852008:PGS852013 PQO852008:PQO852013 QAK852008:QAK852013 QKG852008:QKG852013 QUC852008:QUC852013 RDY852008:RDY852013 RNU852008:RNU852013 RXQ852008:RXQ852013 SHM852008:SHM852013 SRI852008:SRI852013 TBE852008:TBE852013 TLA852008:TLA852013 TUW852008:TUW852013 UES852008:UES852013 UOO852008:UOO852013 UYK852008:UYK852013 VIG852008:VIG852013 VSC852008:VSC852013 WBY852008:WBY852013 WLU852008:WLU852013 WVQ852008:WVQ852013 I917544:I917549 JE917544:JE917549 TA917544:TA917549 ACW917544:ACW917549 AMS917544:AMS917549 AWO917544:AWO917549 BGK917544:BGK917549 BQG917544:BQG917549 CAC917544:CAC917549 CJY917544:CJY917549 CTU917544:CTU917549 DDQ917544:DDQ917549 DNM917544:DNM917549 DXI917544:DXI917549 EHE917544:EHE917549 ERA917544:ERA917549 FAW917544:FAW917549 FKS917544:FKS917549 FUO917544:FUO917549 GEK917544:GEK917549 GOG917544:GOG917549 GYC917544:GYC917549 HHY917544:HHY917549 HRU917544:HRU917549 IBQ917544:IBQ917549 ILM917544:ILM917549 IVI917544:IVI917549 JFE917544:JFE917549 JPA917544:JPA917549 JYW917544:JYW917549 KIS917544:KIS917549 KSO917544:KSO917549 LCK917544:LCK917549 LMG917544:LMG917549 LWC917544:LWC917549 MFY917544:MFY917549 MPU917544:MPU917549 MZQ917544:MZQ917549 NJM917544:NJM917549 NTI917544:NTI917549 ODE917544:ODE917549 ONA917544:ONA917549 OWW917544:OWW917549 PGS917544:PGS917549 PQO917544:PQO917549 QAK917544:QAK917549 QKG917544:QKG917549 QUC917544:QUC917549 RDY917544:RDY917549 RNU917544:RNU917549 RXQ917544:RXQ917549 SHM917544:SHM917549 SRI917544:SRI917549 TBE917544:TBE917549 TLA917544:TLA917549 TUW917544:TUW917549 UES917544:UES917549 UOO917544:UOO917549 UYK917544:UYK917549 VIG917544:VIG917549 VSC917544:VSC917549 WBY917544:WBY917549 WLU917544:WLU917549 WVQ917544:WVQ917549 I983080:I983085 JE983080:JE983085 TA983080:TA983085 ACW983080:ACW983085 AMS983080:AMS983085 AWO983080:AWO983085 BGK983080:BGK983085 BQG983080:BQG983085 CAC983080:CAC983085 CJY983080:CJY983085 CTU983080:CTU983085 DDQ983080:DDQ983085 DNM983080:DNM983085 DXI983080:DXI983085 EHE983080:EHE983085 ERA983080:ERA983085 FAW983080:FAW983085 FKS983080:FKS983085 FUO983080:FUO983085 GEK983080:GEK983085 GOG983080:GOG983085 GYC983080:GYC983085 HHY983080:HHY983085 HRU983080:HRU983085 IBQ983080:IBQ983085 ILM983080:ILM983085 IVI983080:IVI983085 JFE983080:JFE983085 JPA983080:JPA983085 JYW983080:JYW983085 KIS983080:KIS983085 KSO983080:KSO983085 LCK983080:LCK983085 LMG983080:LMG983085 LWC983080:LWC983085 MFY983080:MFY983085 MPU983080:MPU983085 MZQ983080:MZQ983085 NJM983080:NJM983085 NTI983080:NTI983085 ODE983080:ODE983085 ONA983080:ONA983085 OWW983080:OWW983085 PGS983080:PGS983085 PQO983080:PQO983085 QAK983080:QAK983085 QKG983080:QKG983085 QUC983080:QUC983085 RDY983080:RDY983085 RNU983080:RNU983085 RXQ983080:RXQ983085 SHM983080:SHM983085 SRI983080:SRI983085 TBE983080:TBE983085 TLA983080:TLA983085 TUW983080:TUW983085 UES983080:UES983085 UOO983080:UOO983085 UYK983080:UYK983085 VIG983080:VIG983085 VSC983080:VSC983085 WBY983080:WBY983085 WLU983080:WLU983085 WVQ983080:WVQ983085 F40:F45 JB40:JB45 SX40:SX45 ACT40:ACT45 AMP40:AMP45 AWL40:AWL45 BGH40:BGH45 BQD40:BQD45 BZZ40:BZZ45 CJV40:CJV45 CTR40:CTR45 DDN40:DDN45 DNJ40:DNJ45 DXF40:DXF45 EHB40:EHB45 EQX40:EQX45 FAT40:FAT45 FKP40:FKP45 FUL40:FUL45 GEH40:GEH45 GOD40:GOD45 GXZ40:GXZ45 HHV40:HHV45 HRR40:HRR45 IBN40:IBN45 ILJ40:ILJ45 IVF40:IVF45 JFB40:JFB45 JOX40:JOX45 JYT40:JYT45 KIP40:KIP45 KSL40:KSL45 LCH40:LCH45 LMD40:LMD45 LVZ40:LVZ45 MFV40:MFV45 MPR40:MPR45 MZN40:MZN45 NJJ40:NJJ45 NTF40:NTF45 ODB40:ODB45 OMX40:OMX45 OWT40:OWT45 PGP40:PGP45 PQL40:PQL45 QAH40:QAH45 QKD40:QKD45 QTZ40:QTZ45 RDV40:RDV45 RNR40:RNR45 RXN40:RXN45 SHJ40:SHJ45 SRF40:SRF45 TBB40:TBB45 TKX40:TKX45 TUT40:TUT45 UEP40:UEP45 UOL40:UOL45 UYH40:UYH45 VID40:VID45 VRZ40:VRZ45 WBV40:WBV45 WLR40:WLR45 WVN40:WVN45 F65576:F65581 JB65576:JB65581 SX65576:SX65581 ACT65576:ACT65581 AMP65576:AMP65581 AWL65576:AWL65581 BGH65576:BGH65581 BQD65576:BQD65581 BZZ65576:BZZ65581 CJV65576:CJV65581 CTR65576:CTR65581 DDN65576:DDN65581 DNJ65576:DNJ65581 DXF65576:DXF65581 EHB65576:EHB65581 EQX65576:EQX65581 FAT65576:FAT65581 FKP65576:FKP65581 FUL65576:FUL65581 GEH65576:GEH65581 GOD65576:GOD65581 GXZ65576:GXZ65581 HHV65576:HHV65581 HRR65576:HRR65581 IBN65576:IBN65581 ILJ65576:ILJ65581 IVF65576:IVF65581 JFB65576:JFB65581 JOX65576:JOX65581 JYT65576:JYT65581 KIP65576:KIP65581 KSL65576:KSL65581 LCH65576:LCH65581 LMD65576:LMD65581 LVZ65576:LVZ65581 MFV65576:MFV65581 MPR65576:MPR65581 MZN65576:MZN65581 NJJ65576:NJJ65581 NTF65576:NTF65581 ODB65576:ODB65581 OMX65576:OMX65581 OWT65576:OWT65581 PGP65576:PGP65581 PQL65576:PQL65581 QAH65576:QAH65581 QKD65576:QKD65581 QTZ65576:QTZ65581 RDV65576:RDV65581 RNR65576:RNR65581 RXN65576:RXN65581 SHJ65576:SHJ65581 SRF65576:SRF65581 TBB65576:TBB65581 TKX65576:TKX65581 TUT65576:TUT65581 UEP65576:UEP65581 UOL65576:UOL65581 UYH65576:UYH65581 VID65576:VID65581 VRZ65576:VRZ65581 WBV65576:WBV65581 WLR65576:WLR65581 WVN65576:WVN65581 F131112:F131117 JB131112:JB131117 SX131112:SX131117 ACT131112:ACT131117 AMP131112:AMP131117 AWL131112:AWL131117 BGH131112:BGH131117 BQD131112:BQD131117 BZZ131112:BZZ131117 CJV131112:CJV131117 CTR131112:CTR131117 DDN131112:DDN131117 DNJ131112:DNJ131117 DXF131112:DXF131117 EHB131112:EHB131117 EQX131112:EQX131117 FAT131112:FAT131117 FKP131112:FKP131117 FUL131112:FUL131117 GEH131112:GEH131117 GOD131112:GOD131117 GXZ131112:GXZ131117 HHV131112:HHV131117 HRR131112:HRR131117 IBN131112:IBN131117 ILJ131112:ILJ131117 IVF131112:IVF131117 JFB131112:JFB131117 JOX131112:JOX131117 JYT131112:JYT131117 KIP131112:KIP131117 KSL131112:KSL131117 LCH131112:LCH131117 LMD131112:LMD131117 LVZ131112:LVZ131117 MFV131112:MFV131117 MPR131112:MPR131117 MZN131112:MZN131117 NJJ131112:NJJ131117 NTF131112:NTF131117 ODB131112:ODB131117 OMX131112:OMX131117 OWT131112:OWT131117 PGP131112:PGP131117 PQL131112:PQL131117 QAH131112:QAH131117 QKD131112:QKD131117 QTZ131112:QTZ131117 RDV131112:RDV131117 RNR131112:RNR131117 RXN131112:RXN131117 SHJ131112:SHJ131117 SRF131112:SRF131117 TBB131112:TBB131117 TKX131112:TKX131117 TUT131112:TUT131117 UEP131112:UEP131117 UOL131112:UOL131117 UYH131112:UYH131117 VID131112:VID131117 VRZ131112:VRZ131117 WBV131112:WBV131117 WLR131112:WLR131117 WVN131112:WVN131117 F196648:F196653 JB196648:JB196653 SX196648:SX196653 ACT196648:ACT196653 AMP196648:AMP196653 AWL196648:AWL196653 BGH196648:BGH196653 BQD196648:BQD196653 BZZ196648:BZZ196653 CJV196648:CJV196653 CTR196648:CTR196653 DDN196648:DDN196653 DNJ196648:DNJ196653 DXF196648:DXF196653 EHB196648:EHB196653 EQX196648:EQX196653 FAT196648:FAT196653 FKP196648:FKP196653 FUL196648:FUL196653 GEH196648:GEH196653 GOD196648:GOD196653 GXZ196648:GXZ196653 HHV196648:HHV196653 HRR196648:HRR196653 IBN196648:IBN196653 ILJ196648:ILJ196653 IVF196648:IVF196653 JFB196648:JFB196653 JOX196648:JOX196653 JYT196648:JYT196653 KIP196648:KIP196653 KSL196648:KSL196653 LCH196648:LCH196653 LMD196648:LMD196653 LVZ196648:LVZ196653 MFV196648:MFV196653 MPR196648:MPR196653 MZN196648:MZN196653 NJJ196648:NJJ196653 NTF196648:NTF196653 ODB196648:ODB196653 OMX196648:OMX196653 OWT196648:OWT196653 PGP196648:PGP196653 PQL196648:PQL196653 QAH196648:QAH196653 QKD196648:QKD196653 QTZ196648:QTZ196653 RDV196648:RDV196653 RNR196648:RNR196653 RXN196648:RXN196653 SHJ196648:SHJ196653 SRF196648:SRF196653 TBB196648:TBB196653 TKX196648:TKX196653 TUT196648:TUT196653 UEP196648:UEP196653 UOL196648:UOL196653 UYH196648:UYH196653 VID196648:VID196653 VRZ196648:VRZ196653 WBV196648:WBV196653 WLR196648:WLR196653 WVN196648:WVN196653 F262184:F262189 JB262184:JB262189 SX262184:SX262189 ACT262184:ACT262189 AMP262184:AMP262189 AWL262184:AWL262189 BGH262184:BGH262189 BQD262184:BQD262189 BZZ262184:BZZ262189 CJV262184:CJV262189 CTR262184:CTR262189 DDN262184:DDN262189 DNJ262184:DNJ262189 DXF262184:DXF262189 EHB262184:EHB262189 EQX262184:EQX262189 FAT262184:FAT262189 FKP262184:FKP262189 FUL262184:FUL262189 GEH262184:GEH262189 GOD262184:GOD262189 GXZ262184:GXZ262189 HHV262184:HHV262189 HRR262184:HRR262189 IBN262184:IBN262189 ILJ262184:ILJ262189 IVF262184:IVF262189 JFB262184:JFB262189 JOX262184:JOX262189 JYT262184:JYT262189 KIP262184:KIP262189 KSL262184:KSL262189 LCH262184:LCH262189 LMD262184:LMD262189 LVZ262184:LVZ262189 MFV262184:MFV262189 MPR262184:MPR262189 MZN262184:MZN262189 NJJ262184:NJJ262189 NTF262184:NTF262189 ODB262184:ODB262189 OMX262184:OMX262189 OWT262184:OWT262189 PGP262184:PGP262189 PQL262184:PQL262189 QAH262184:QAH262189 QKD262184:QKD262189 QTZ262184:QTZ262189 RDV262184:RDV262189 RNR262184:RNR262189 RXN262184:RXN262189 SHJ262184:SHJ262189 SRF262184:SRF262189 TBB262184:TBB262189 TKX262184:TKX262189 TUT262184:TUT262189 UEP262184:UEP262189 UOL262184:UOL262189 UYH262184:UYH262189 VID262184:VID262189 VRZ262184:VRZ262189 WBV262184:WBV262189 WLR262184:WLR262189 WVN262184:WVN262189 F327720:F327725 JB327720:JB327725 SX327720:SX327725 ACT327720:ACT327725 AMP327720:AMP327725 AWL327720:AWL327725 BGH327720:BGH327725 BQD327720:BQD327725 BZZ327720:BZZ327725 CJV327720:CJV327725 CTR327720:CTR327725 DDN327720:DDN327725 DNJ327720:DNJ327725 DXF327720:DXF327725 EHB327720:EHB327725 EQX327720:EQX327725 FAT327720:FAT327725 FKP327720:FKP327725 FUL327720:FUL327725 GEH327720:GEH327725 GOD327720:GOD327725 GXZ327720:GXZ327725 HHV327720:HHV327725 HRR327720:HRR327725 IBN327720:IBN327725 ILJ327720:ILJ327725 IVF327720:IVF327725 JFB327720:JFB327725 JOX327720:JOX327725 JYT327720:JYT327725 KIP327720:KIP327725 KSL327720:KSL327725 LCH327720:LCH327725 LMD327720:LMD327725 LVZ327720:LVZ327725 MFV327720:MFV327725 MPR327720:MPR327725 MZN327720:MZN327725 NJJ327720:NJJ327725 NTF327720:NTF327725 ODB327720:ODB327725 OMX327720:OMX327725 OWT327720:OWT327725 PGP327720:PGP327725 PQL327720:PQL327725 QAH327720:QAH327725 QKD327720:QKD327725 QTZ327720:QTZ327725 RDV327720:RDV327725 RNR327720:RNR327725 RXN327720:RXN327725 SHJ327720:SHJ327725 SRF327720:SRF327725 TBB327720:TBB327725 TKX327720:TKX327725 TUT327720:TUT327725 UEP327720:UEP327725 UOL327720:UOL327725 UYH327720:UYH327725 VID327720:VID327725 VRZ327720:VRZ327725 WBV327720:WBV327725 WLR327720:WLR327725 WVN327720:WVN327725 F393256:F393261 JB393256:JB393261 SX393256:SX393261 ACT393256:ACT393261 AMP393256:AMP393261 AWL393256:AWL393261 BGH393256:BGH393261 BQD393256:BQD393261 BZZ393256:BZZ393261 CJV393256:CJV393261 CTR393256:CTR393261 DDN393256:DDN393261 DNJ393256:DNJ393261 DXF393256:DXF393261 EHB393256:EHB393261 EQX393256:EQX393261 FAT393256:FAT393261 FKP393256:FKP393261 FUL393256:FUL393261 GEH393256:GEH393261 GOD393256:GOD393261 GXZ393256:GXZ393261 HHV393256:HHV393261 HRR393256:HRR393261 IBN393256:IBN393261 ILJ393256:ILJ393261 IVF393256:IVF393261 JFB393256:JFB393261 JOX393256:JOX393261 JYT393256:JYT393261 KIP393256:KIP393261 KSL393256:KSL393261 LCH393256:LCH393261 LMD393256:LMD393261 LVZ393256:LVZ393261 MFV393256:MFV393261 MPR393256:MPR393261 MZN393256:MZN393261 NJJ393256:NJJ393261 NTF393256:NTF393261 ODB393256:ODB393261 OMX393256:OMX393261 OWT393256:OWT393261 PGP393256:PGP393261 PQL393256:PQL393261 QAH393256:QAH393261 QKD393256:QKD393261 QTZ393256:QTZ393261 RDV393256:RDV393261 RNR393256:RNR393261 RXN393256:RXN393261 SHJ393256:SHJ393261 SRF393256:SRF393261 TBB393256:TBB393261 TKX393256:TKX393261 TUT393256:TUT393261 UEP393256:UEP393261 UOL393256:UOL393261 UYH393256:UYH393261 VID393256:VID393261 VRZ393256:VRZ393261 WBV393256:WBV393261 WLR393256:WLR393261 WVN393256:WVN393261 F458792:F458797 JB458792:JB458797 SX458792:SX458797 ACT458792:ACT458797 AMP458792:AMP458797 AWL458792:AWL458797 BGH458792:BGH458797 BQD458792:BQD458797 BZZ458792:BZZ458797 CJV458792:CJV458797 CTR458792:CTR458797 DDN458792:DDN458797 DNJ458792:DNJ458797 DXF458792:DXF458797 EHB458792:EHB458797 EQX458792:EQX458797 FAT458792:FAT458797 FKP458792:FKP458797 FUL458792:FUL458797 GEH458792:GEH458797 GOD458792:GOD458797 GXZ458792:GXZ458797 HHV458792:HHV458797 HRR458792:HRR458797 IBN458792:IBN458797 ILJ458792:ILJ458797 IVF458792:IVF458797 JFB458792:JFB458797 JOX458792:JOX458797 JYT458792:JYT458797 KIP458792:KIP458797 KSL458792:KSL458797 LCH458792:LCH458797 LMD458792:LMD458797 LVZ458792:LVZ458797 MFV458792:MFV458797 MPR458792:MPR458797 MZN458792:MZN458797 NJJ458792:NJJ458797 NTF458792:NTF458797 ODB458792:ODB458797 OMX458792:OMX458797 OWT458792:OWT458797 PGP458792:PGP458797 PQL458792:PQL458797 QAH458792:QAH458797 QKD458792:QKD458797 QTZ458792:QTZ458797 RDV458792:RDV458797 RNR458792:RNR458797 RXN458792:RXN458797 SHJ458792:SHJ458797 SRF458792:SRF458797 TBB458792:TBB458797 TKX458792:TKX458797 TUT458792:TUT458797 UEP458792:UEP458797 UOL458792:UOL458797 UYH458792:UYH458797 VID458792:VID458797 VRZ458792:VRZ458797 WBV458792:WBV458797 WLR458792:WLR458797 WVN458792:WVN458797 F524328:F524333 JB524328:JB524333 SX524328:SX524333 ACT524328:ACT524333 AMP524328:AMP524333 AWL524328:AWL524333 BGH524328:BGH524333 BQD524328:BQD524333 BZZ524328:BZZ524333 CJV524328:CJV524333 CTR524328:CTR524333 DDN524328:DDN524333 DNJ524328:DNJ524333 DXF524328:DXF524333 EHB524328:EHB524333 EQX524328:EQX524333 FAT524328:FAT524333 FKP524328:FKP524333 FUL524328:FUL524333 GEH524328:GEH524333 GOD524328:GOD524333 GXZ524328:GXZ524333 HHV524328:HHV524333 HRR524328:HRR524333 IBN524328:IBN524333 ILJ524328:ILJ524333 IVF524328:IVF524333 JFB524328:JFB524333 JOX524328:JOX524333 JYT524328:JYT524333 KIP524328:KIP524333 KSL524328:KSL524333 LCH524328:LCH524333 LMD524328:LMD524333 LVZ524328:LVZ524333 MFV524328:MFV524333 MPR524328:MPR524333 MZN524328:MZN524333 NJJ524328:NJJ524333 NTF524328:NTF524333 ODB524328:ODB524333 OMX524328:OMX524333 OWT524328:OWT524333 PGP524328:PGP524333 PQL524328:PQL524333 QAH524328:QAH524333 QKD524328:QKD524333 QTZ524328:QTZ524333 RDV524328:RDV524333 RNR524328:RNR524333 RXN524328:RXN524333 SHJ524328:SHJ524333 SRF524328:SRF524333 TBB524328:TBB524333 TKX524328:TKX524333 TUT524328:TUT524333 UEP524328:UEP524333 UOL524328:UOL524333 UYH524328:UYH524333 VID524328:VID524333 VRZ524328:VRZ524333 WBV524328:WBV524333 WLR524328:WLR524333 WVN524328:WVN524333 F589864:F589869 JB589864:JB589869 SX589864:SX589869 ACT589864:ACT589869 AMP589864:AMP589869 AWL589864:AWL589869 BGH589864:BGH589869 BQD589864:BQD589869 BZZ589864:BZZ589869 CJV589864:CJV589869 CTR589864:CTR589869 DDN589864:DDN589869 DNJ589864:DNJ589869 DXF589864:DXF589869 EHB589864:EHB589869 EQX589864:EQX589869 FAT589864:FAT589869 FKP589864:FKP589869 FUL589864:FUL589869 GEH589864:GEH589869 GOD589864:GOD589869 GXZ589864:GXZ589869 HHV589864:HHV589869 HRR589864:HRR589869 IBN589864:IBN589869 ILJ589864:ILJ589869 IVF589864:IVF589869 JFB589864:JFB589869 JOX589864:JOX589869 JYT589864:JYT589869 KIP589864:KIP589869 KSL589864:KSL589869 LCH589864:LCH589869 LMD589864:LMD589869 LVZ589864:LVZ589869 MFV589864:MFV589869 MPR589864:MPR589869 MZN589864:MZN589869 NJJ589864:NJJ589869 NTF589864:NTF589869 ODB589864:ODB589869 OMX589864:OMX589869 OWT589864:OWT589869 PGP589864:PGP589869 PQL589864:PQL589869 QAH589864:QAH589869 QKD589864:QKD589869 QTZ589864:QTZ589869 RDV589864:RDV589869 RNR589864:RNR589869 RXN589864:RXN589869 SHJ589864:SHJ589869 SRF589864:SRF589869 TBB589864:TBB589869 TKX589864:TKX589869 TUT589864:TUT589869 UEP589864:UEP589869 UOL589864:UOL589869 UYH589864:UYH589869 VID589864:VID589869 VRZ589864:VRZ589869 WBV589864:WBV589869 WLR589864:WLR589869 WVN589864:WVN589869 F655400:F655405 JB655400:JB655405 SX655400:SX655405 ACT655400:ACT655405 AMP655400:AMP655405 AWL655400:AWL655405 BGH655400:BGH655405 BQD655400:BQD655405 BZZ655400:BZZ655405 CJV655400:CJV655405 CTR655400:CTR655405 DDN655400:DDN655405 DNJ655400:DNJ655405 DXF655400:DXF655405 EHB655400:EHB655405 EQX655400:EQX655405 FAT655400:FAT655405 FKP655400:FKP655405 FUL655400:FUL655405 GEH655400:GEH655405 GOD655400:GOD655405 GXZ655400:GXZ655405 HHV655400:HHV655405 HRR655400:HRR655405 IBN655400:IBN655405 ILJ655400:ILJ655405 IVF655400:IVF655405 JFB655400:JFB655405 JOX655400:JOX655405 JYT655400:JYT655405 KIP655400:KIP655405 KSL655400:KSL655405 LCH655400:LCH655405 LMD655400:LMD655405 LVZ655400:LVZ655405 MFV655400:MFV655405 MPR655400:MPR655405 MZN655400:MZN655405 NJJ655400:NJJ655405 NTF655400:NTF655405 ODB655400:ODB655405 OMX655400:OMX655405 OWT655400:OWT655405 PGP655400:PGP655405 PQL655400:PQL655405 QAH655400:QAH655405 QKD655400:QKD655405 QTZ655400:QTZ655405 RDV655400:RDV655405 RNR655400:RNR655405 RXN655400:RXN655405 SHJ655400:SHJ655405 SRF655400:SRF655405 TBB655400:TBB655405 TKX655400:TKX655405 TUT655400:TUT655405 UEP655400:UEP655405 UOL655400:UOL655405 UYH655400:UYH655405 VID655400:VID655405 VRZ655400:VRZ655405 WBV655400:WBV655405 WLR655400:WLR655405 WVN655400:WVN655405 F720936:F720941 JB720936:JB720941 SX720936:SX720941 ACT720936:ACT720941 AMP720936:AMP720941 AWL720936:AWL720941 BGH720936:BGH720941 BQD720936:BQD720941 BZZ720936:BZZ720941 CJV720936:CJV720941 CTR720936:CTR720941 DDN720936:DDN720941 DNJ720936:DNJ720941 DXF720936:DXF720941 EHB720936:EHB720941 EQX720936:EQX720941 FAT720936:FAT720941 FKP720936:FKP720941 FUL720936:FUL720941 GEH720936:GEH720941 GOD720936:GOD720941 GXZ720936:GXZ720941 HHV720936:HHV720941 HRR720936:HRR720941 IBN720936:IBN720941 ILJ720936:ILJ720941 IVF720936:IVF720941 JFB720936:JFB720941 JOX720936:JOX720941 JYT720936:JYT720941 KIP720936:KIP720941 KSL720936:KSL720941 LCH720936:LCH720941 LMD720936:LMD720941 LVZ720936:LVZ720941 MFV720936:MFV720941 MPR720936:MPR720941 MZN720936:MZN720941 NJJ720936:NJJ720941 NTF720936:NTF720941 ODB720936:ODB720941 OMX720936:OMX720941 OWT720936:OWT720941 PGP720936:PGP720941 PQL720936:PQL720941 QAH720936:QAH720941 QKD720936:QKD720941 QTZ720936:QTZ720941 RDV720936:RDV720941 RNR720936:RNR720941 RXN720936:RXN720941 SHJ720936:SHJ720941 SRF720936:SRF720941 TBB720936:TBB720941 TKX720936:TKX720941 TUT720936:TUT720941 UEP720936:UEP720941 UOL720936:UOL720941 UYH720936:UYH720941 VID720936:VID720941 VRZ720936:VRZ720941 WBV720936:WBV720941 WLR720936:WLR720941 WVN720936:WVN720941 F786472:F786477 JB786472:JB786477 SX786472:SX786477 ACT786472:ACT786477 AMP786472:AMP786477 AWL786472:AWL786477 BGH786472:BGH786477 BQD786472:BQD786477 BZZ786472:BZZ786477 CJV786472:CJV786477 CTR786472:CTR786477 DDN786472:DDN786477 DNJ786472:DNJ786477 DXF786472:DXF786477 EHB786472:EHB786477 EQX786472:EQX786477 FAT786472:FAT786477 FKP786472:FKP786477 FUL786472:FUL786477 GEH786472:GEH786477 GOD786472:GOD786477 GXZ786472:GXZ786477 HHV786472:HHV786477 HRR786472:HRR786477 IBN786472:IBN786477 ILJ786472:ILJ786477 IVF786472:IVF786477 JFB786472:JFB786477 JOX786472:JOX786477 JYT786472:JYT786477 KIP786472:KIP786477 KSL786472:KSL786477 LCH786472:LCH786477 LMD786472:LMD786477 LVZ786472:LVZ786477 MFV786472:MFV786477 MPR786472:MPR786477 MZN786472:MZN786477 NJJ786472:NJJ786477 NTF786472:NTF786477 ODB786472:ODB786477 OMX786472:OMX786477 OWT786472:OWT786477 PGP786472:PGP786477 PQL786472:PQL786477 QAH786472:QAH786477 QKD786472:QKD786477 QTZ786472:QTZ786477 RDV786472:RDV786477 RNR786472:RNR786477 RXN786472:RXN786477 SHJ786472:SHJ786477 SRF786472:SRF786477 TBB786472:TBB786477 TKX786472:TKX786477 TUT786472:TUT786477 UEP786472:UEP786477 UOL786472:UOL786477 UYH786472:UYH786477 VID786472:VID786477 VRZ786472:VRZ786477 WBV786472:WBV786477 WLR786472:WLR786477 WVN786472:WVN786477 F852008:F852013 JB852008:JB852013 SX852008:SX852013 ACT852008:ACT852013 AMP852008:AMP852013 AWL852008:AWL852013 BGH852008:BGH852013 BQD852008:BQD852013 BZZ852008:BZZ852013 CJV852008:CJV852013 CTR852008:CTR852013 DDN852008:DDN852013 DNJ852008:DNJ852013 DXF852008:DXF852013 EHB852008:EHB852013 EQX852008:EQX852013 FAT852008:FAT852013 FKP852008:FKP852013 FUL852008:FUL852013 GEH852008:GEH852013 GOD852008:GOD852013 GXZ852008:GXZ852013 HHV852008:HHV852013 HRR852008:HRR852013 IBN852008:IBN852013 ILJ852008:ILJ852013 IVF852008:IVF852013 JFB852008:JFB852013 JOX852008:JOX852013 JYT852008:JYT852013 KIP852008:KIP852013 KSL852008:KSL852013 LCH852008:LCH852013 LMD852008:LMD852013 LVZ852008:LVZ852013 MFV852008:MFV852013 MPR852008:MPR852013 MZN852008:MZN852013 NJJ852008:NJJ852013 NTF852008:NTF852013 ODB852008:ODB852013 OMX852008:OMX852013 OWT852008:OWT852013 PGP852008:PGP852013 PQL852008:PQL852013 QAH852008:QAH852013 QKD852008:QKD852013 QTZ852008:QTZ852013 RDV852008:RDV852013 RNR852008:RNR852013 RXN852008:RXN852013 SHJ852008:SHJ852013 SRF852008:SRF852013 TBB852008:TBB852013 TKX852008:TKX852013 TUT852008:TUT852013 UEP852008:UEP852013 UOL852008:UOL852013 UYH852008:UYH852013 VID852008:VID852013 VRZ852008:VRZ852013 WBV852008:WBV852013 WLR852008:WLR852013 WVN852008:WVN852013 F917544:F917549 JB917544:JB917549 SX917544:SX917549 ACT917544:ACT917549 AMP917544:AMP917549 AWL917544:AWL917549 BGH917544:BGH917549 BQD917544:BQD917549 BZZ917544:BZZ917549 CJV917544:CJV917549 CTR917544:CTR917549 DDN917544:DDN917549 DNJ917544:DNJ917549 DXF917544:DXF917549 EHB917544:EHB917549 EQX917544:EQX917549 FAT917544:FAT917549 FKP917544:FKP917549 FUL917544:FUL917549 GEH917544:GEH917549 GOD917544:GOD917549 GXZ917544:GXZ917549 HHV917544:HHV917549 HRR917544:HRR917549 IBN917544:IBN917549 ILJ917544:ILJ917549 IVF917544:IVF917549 JFB917544:JFB917549 JOX917544:JOX917549 JYT917544:JYT917549 KIP917544:KIP917549 KSL917544:KSL917549 LCH917544:LCH917549 LMD917544:LMD917549 LVZ917544:LVZ917549 MFV917544:MFV917549 MPR917544:MPR917549 MZN917544:MZN917549 NJJ917544:NJJ917549 NTF917544:NTF917549 ODB917544:ODB917549 OMX917544:OMX917549 OWT917544:OWT917549 PGP917544:PGP917549 PQL917544:PQL917549 QAH917544:QAH917549 QKD917544:QKD917549 QTZ917544:QTZ917549 RDV917544:RDV917549 RNR917544:RNR917549 RXN917544:RXN917549 SHJ917544:SHJ917549 SRF917544:SRF917549 TBB917544:TBB917549 TKX917544:TKX917549 TUT917544:TUT917549 UEP917544:UEP917549 UOL917544:UOL917549 UYH917544:UYH917549 VID917544:VID917549 VRZ917544:VRZ917549 WBV917544:WBV917549 WLR917544:WLR917549 WVN917544:WVN917549 F983080:F983085 JB983080:JB983085 SX983080:SX983085 ACT983080:ACT983085 AMP983080:AMP983085 AWL983080:AWL983085 BGH983080:BGH983085 BQD983080:BQD983085 BZZ983080:BZZ983085 CJV983080:CJV983085 CTR983080:CTR983085 DDN983080:DDN983085 DNJ983080:DNJ983085 DXF983080:DXF983085 EHB983080:EHB983085 EQX983080:EQX983085 FAT983080:FAT983085 FKP983080:FKP983085 FUL983080:FUL983085 GEH983080:GEH983085 GOD983080:GOD983085 GXZ983080:GXZ983085 HHV983080:HHV983085 HRR983080:HRR983085 IBN983080:IBN983085 ILJ983080:ILJ983085 IVF983080:IVF983085 JFB983080:JFB983085 JOX983080:JOX983085 JYT983080:JYT983085 KIP983080:KIP983085 KSL983080:KSL983085 LCH983080:LCH983085 LMD983080:LMD983085 LVZ983080:LVZ983085 MFV983080:MFV983085 MPR983080:MPR983085 MZN983080:MZN983085 NJJ983080:NJJ983085 NTF983080:NTF983085 ODB983080:ODB983085 OMX983080:OMX983085 OWT983080:OWT983085 PGP983080:PGP983085 PQL983080:PQL983085 QAH983080:QAH983085 QKD983080:QKD983085 QTZ983080:QTZ983085 RDV983080:RDV983085 RNR983080:RNR983085 RXN983080:RXN983085 SHJ983080:SHJ983085 SRF983080:SRF983085 TBB983080:TBB983085 TKX983080:TKX983085 TUT983080:TUT983085 UEP983080:UEP983085 UOL983080:UOL983085 UYH983080:UYH983085 VID983080:VID983085 VRZ983080:VRZ983085 WBV983080:WBV983085 WLR983080:WLR983085 WVN983080:WVN983085 I32:I37 JE32:JE37 TA32:TA37 ACW32:ACW37 AMS32:AMS37 AWO32:AWO37 BGK32:BGK37 BQG32:BQG37 CAC32:CAC37 CJY32:CJY37 CTU32:CTU37 DDQ32:DDQ37 DNM32:DNM37 DXI32:DXI37 EHE32:EHE37 ERA32:ERA37 FAW32:FAW37 FKS32:FKS37 FUO32:FUO37 GEK32:GEK37 GOG32:GOG37 GYC32:GYC37 HHY32:HHY37 HRU32:HRU37 IBQ32:IBQ37 ILM32:ILM37 IVI32:IVI37 JFE32:JFE37 JPA32:JPA37 JYW32:JYW37 KIS32:KIS37 KSO32:KSO37 LCK32:LCK37 LMG32:LMG37 LWC32:LWC37 MFY32:MFY37 MPU32:MPU37 MZQ32:MZQ37 NJM32:NJM37 NTI32:NTI37 ODE32:ODE37 ONA32:ONA37 OWW32:OWW37 PGS32:PGS37 PQO32:PQO37 QAK32:QAK37 QKG32:QKG37 QUC32:QUC37 RDY32:RDY37 RNU32:RNU37 RXQ32:RXQ37 SHM32:SHM37 SRI32:SRI37 TBE32:TBE37 TLA32:TLA37 TUW32:TUW37 UES32:UES37 UOO32:UOO37 UYK32:UYK37 VIG32:VIG37 VSC32:VSC37 WBY32:WBY37 WLU32:WLU37 WVQ32:WVQ37 I65568:I65573 JE65568:JE65573 TA65568:TA65573 ACW65568:ACW65573 AMS65568:AMS65573 AWO65568:AWO65573 BGK65568:BGK65573 BQG65568:BQG65573 CAC65568:CAC65573 CJY65568:CJY65573 CTU65568:CTU65573 DDQ65568:DDQ65573 DNM65568:DNM65573 DXI65568:DXI65573 EHE65568:EHE65573 ERA65568:ERA65573 FAW65568:FAW65573 FKS65568:FKS65573 FUO65568:FUO65573 GEK65568:GEK65573 GOG65568:GOG65573 GYC65568:GYC65573 HHY65568:HHY65573 HRU65568:HRU65573 IBQ65568:IBQ65573 ILM65568:ILM65573 IVI65568:IVI65573 JFE65568:JFE65573 JPA65568:JPA65573 JYW65568:JYW65573 KIS65568:KIS65573 KSO65568:KSO65573 LCK65568:LCK65573 LMG65568:LMG65573 LWC65568:LWC65573 MFY65568:MFY65573 MPU65568:MPU65573 MZQ65568:MZQ65573 NJM65568:NJM65573 NTI65568:NTI65573 ODE65568:ODE65573 ONA65568:ONA65573 OWW65568:OWW65573 PGS65568:PGS65573 PQO65568:PQO65573 QAK65568:QAK65573 QKG65568:QKG65573 QUC65568:QUC65573 RDY65568:RDY65573 RNU65568:RNU65573 RXQ65568:RXQ65573 SHM65568:SHM65573 SRI65568:SRI65573 TBE65568:TBE65573 TLA65568:TLA65573 TUW65568:TUW65573 UES65568:UES65573 UOO65568:UOO65573 UYK65568:UYK65573 VIG65568:VIG65573 VSC65568:VSC65573 WBY65568:WBY65573 WLU65568:WLU65573 WVQ65568:WVQ65573 I131104:I131109 JE131104:JE131109 TA131104:TA131109 ACW131104:ACW131109 AMS131104:AMS131109 AWO131104:AWO131109 BGK131104:BGK131109 BQG131104:BQG131109 CAC131104:CAC131109 CJY131104:CJY131109 CTU131104:CTU131109 DDQ131104:DDQ131109 DNM131104:DNM131109 DXI131104:DXI131109 EHE131104:EHE131109 ERA131104:ERA131109 FAW131104:FAW131109 FKS131104:FKS131109 FUO131104:FUO131109 GEK131104:GEK131109 GOG131104:GOG131109 GYC131104:GYC131109 HHY131104:HHY131109 HRU131104:HRU131109 IBQ131104:IBQ131109 ILM131104:ILM131109 IVI131104:IVI131109 JFE131104:JFE131109 JPA131104:JPA131109 JYW131104:JYW131109 KIS131104:KIS131109 KSO131104:KSO131109 LCK131104:LCK131109 LMG131104:LMG131109 LWC131104:LWC131109 MFY131104:MFY131109 MPU131104:MPU131109 MZQ131104:MZQ131109 NJM131104:NJM131109 NTI131104:NTI131109 ODE131104:ODE131109 ONA131104:ONA131109 OWW131104:OWW131109 PGS131104:PGS131109 PQO131104:PQO131109 QAK131104:QAK131109 QKG131104:QKG131109 QUC131104:QUC131109 RDY131104:RDY131109 RNU131104:RNU131109 RXQ131104:RXQ131109 SHM131104:SHM131109 SRI131104:SRI131109 TBE131104:TBE131109 TLA131104:TLA131109 TUW131104:TUW131109 UES131104:UES131109 UOO131104:UOO131109 UYK131104:UYK131109 VIG131104:VIG131109 VSC131104:VSC131109 WBY131104:WBY131109 WLU131104:WLU131109 WVQ131104:WVQ131109 I196640:I196645 JE196640:JE196645 TA196640:TA196645 ACW196640:ACW196645 AMS196640:AMS196645 AWO196640:AWO196645 BGK196640:BGK196645 BQG196640:BQG196645 CAC196640:CAC196645 CJY196640:CJY196645 CTU196640:CTU196645 DDQ196640:DDQ196645 DNM196640:DNM196645 DXI196640:DXI196645 EHE196640:EHE196645 ERA196640:ERA196645 FAW196640:FAW196645 FKS196640:FKS196645 FUO196640:FUO196645 GEK196640:GEK196645 GOG196640:GOG196645 GYC196640:GYC196645 HHY196640:HHY196645 HRU196640:HRU196645 IBQ196640:IBQ196645 ILM196640:ILM196645 IVI196640:IVI196645 JFE196640:JFE196645 JPA196640:JPA196645 JYW196640:JYW196645 KIS196640:KIS196645 KSO196640:KSO196645 LCK196640:LCK196645 LMG196640:LMG196645 LWC196640:LWC196645 MFY196640:MFY196645 MPU196640:MPU196645 MZQ196640:MZQ196645 NJM196640:NJM196645 NTI196640:NTI196645 ODE196640:ODE196645 ONA196640:ONA196645 OWW196640:OWW196645 PGS196640:PGS196645 PQO196640:PQO196645 QAK196640:QAK196645 QKG196640:QKG196645 QUC196640:QUC196645 RDY196640:RDY196645 RNU196640:RNU196645 RXQ196640:RXQ196645 SHM196640:SHM196645 SRI196640:SRI196645 TBE196640:TBE196645 TLA196640:TLA196645 TUW196640:TUW196645 UES196640:UES196645 UOO196640:UOO196645 UYK196640:UYK196645 VIG196640:VIG196645 VSC196640:VSC196645 WBY196640:WBY196645 WLU196640:WLU196645 WVQ196640:WVQ196645 I262176:I262181 JE262176:JE262181 TA262176:TA262181 ACW262176:ACW262181 AMS262176:AMS262181 AWO262176:AWO262181 BGK262176:BGK262181 BQG262176:BQG262181 CAC262176:CAC262181 CJY262176:CJY262181 CTU262176:CTU262181 DDQ262176:DDQ262181 DNM262176:DNM262181 DXI262176:DXI262181 EHE262176:EHE262181 ERA262176:ERA262181 FAW262176:FAW262181 FKS262176:FKS262181 FUO262176:FUO262181 GEK262176:GEK262181 GOG262176:GOG262181 GYC262176:GYC262181 HHY262176:HHY262181 HRU262176:HRU262181 IBQ262176:IBQ262181 ILM262176:ILM262181 IVI262176:IVI262181 JFE262176:JFE262181 JPA262176:JPA262181 JYW262176:JYW262181 KIS262176:KIS262181 KSO262176:KSO262181 LCK262176:LCK262181 LMG262176:LMG262181 LWC262176:LWC262181 MFY262176:MFY262181 MPU262176:MPU262181 MZQ262176:MZQ262181 NJM262176:NJM262181 NTI262176:NTI262181 ODE262176:ODE262181 ONA262176:ONA262181 OWW262176:OWW262181 PGS262176:PGS262181 PQO262176:PQO262181 QAK262176:QAK262181 QKG262176:QKG262181 QUC262176:QUC262181 RDY262176:RDY262181 RNU262176:RNU262181 RXQ262176:RXQ262181 SHM262176:SHM262181 SRI262176:SRI262181 TBE262176:TBE262181 TLA262176:TLA262181 TUW262176:TUW262181 UES262176:UES262181 UOO262176:UOO262181 UYK262176:UYK262181 VIG262176:VIG262181 VSC262176:VSC262181 WBY262176:WBY262181 WLU262176:WLU262181 WVQ262176:WVQ262181 I327712:I327717 JE327712:JE327717 TA327712:TA327717 ACW327712:ACW327717 AMS327712:AMS327717 AWO327712:AWO327717 BGK327712:BGK327717 BQG327712:BQG327717 CAC327712:CAC327717 CJY327712:CJY327717 CTU327712:CTU327717 DDQ327712:DDQ327717 DNM327712:DNM327717 DXI327712:DXI327717 EHE327712:EHE327717 ERA327712:ERA327717 FAW327712:FAW327717 FKS327712:FKS327717 FUO327712:FUO327717 GEK327712:GEK327717 GOG327712:GOG327717 GYC327712:GYC327717 HHY327712:HHY327717 HRU327712:HRU327717 IBQ327712:IBQ327717 ILM327712:ILM327717 IVI327712:IVI327717 JFE327712:JFE327717 JPA327712:JPA327717 JYW327712:JYW327717 KIS327712:KIS327717 KSO327712:KSO327717 LCK327712:LCK327717 LMG327712:LMG327717 LWC327712:LWC327717 MFY327712:MFY327717 MPU327712:MPU327717 MZQ327712:MZQ327717 NJM327712:NJM327717 NTI327712:NTI327717 ODE327712:ODE327717 ONA327712:ONA327717 OWW327712:OWW327717 PGS327712:PGS327717 PQO327712:PQO327717 QAK327712:QAK327717 QKG327712:QKG327717 QUC327712:QUC327717 RDY327712:RDY327717 RNU327712:RNU327717 RXQ327712:RXQ327717 SHM327712:SHM327717 SRI327712:SRI327717 TBE327712:TBE327717 TLA327712:TLA327717 TUW327712:TUW327717 UES327712:UES327717 UOO327712:UOO327717 UYK327712:UYK327717 VIG327712:VIG327717 VSC327712:VSC327717 WBY327712:WBY327717 WLU327712:WLU327717 WVQ327712:WVQ327717 I393248:I393253 JE393248:JE393253 TA393248:TA393253 ACW393248:ACW393253 AMS393248:AMS393253 AWO393248:AWO393253 BGK393248:BGK393253 BQG393248:BQG393253 CAC393248:CAC393253 CJY393248:CJY393253 CTU393248:CTU393253 DDQ393248:DDQ393253 DNM393248:DNM393253 DXI393248:DXI393253 EHE393248:EHE393253 ERA393248:ERA393253 FAW393248:FAW393253 FKS393248:FKS393253 FUO393248:FUO393253 GEK393248:GEK393253 GOG393248:GOG393253 GYC393248:GYC393253 HHY393248:HHY393253 HRU393248:HRU393253 IBQ393248:IBQ393253 ILM393248:ILM393253 IVI393248:IVI393253 JFE393248:JFE393253 JPA393248:JPA393253 JYW393248:JYW393253 KIS393248:KIS393253 KSO393248:KSO393253 LCK393248:LCK393253 LMG393248:LMG393253 LWC393248:LWC393253 MFY393248:MFY393253 MPU393248:MPU393253 MZQ393248:MZQ393253 NJM393248:NJM393253 NTI393248:NTI393253 ODE393248:ODE393253 ONA393248:ONA393253 OWW393248:OWW393253 PGS393248:PGS393253 PQO393248:PQO393253 QAK393248:QAK393253 QKG393248:QKG393253 QUC393248:QUC393253 RDY393248:RDY393253 RNU393248:RNU393253 RXQ393248:RXQ393253 SHM393248:SHM393253 SRI393248:SRI393253 TBE393248:TBE393253 TLA393248:TLA393253 TUW393248:TUW393253 UES393248:UES393253 UOO393248:UOO393253 UYK393248:UYK393253 VIG393248:VIG393253 VSC393248:VSC393253 WBY393248:WBY393253 WLU393248:WLU393253 WVQ393248:WVQ393253 I458784:I458789 JE458784:JE458789 TA458784:TA458789 ACW458784:ACW458789 AMS458784:AMS458789 AWO458784:AWO458789 BGK458784:BGK458789 BQG458784:BQG458789 CAC458784:CAC458789 CJY458784:CJY458789 CTU458784:CTU458789 DDQ458784:DDQ458789 DNM458784:DNM458789 DXI458784:DXI458789 EHE458784:EHE458789 ERA458784:ERA458789 FAW458784:FAW458789 FKS458784:FKS458789 FUO458784:FUO458789 GEK458784:GEK458789 GOG458784:GOG458789 GYC458784:GYC458789 HHY458784:HHY458789 HRU458784:HRU458789 IBQ458784:IBQ458789 ILM458784:ILM458789 IVI458784:IVI458789 JFE458784:JFE458789 JPA458784:JPA458789 JYW458784:JYW458789 KIS458784:KIS458789 KSO458784:KSO458789 LCK458784:LCK458789 LMG458784:LMG458789 LWC458784:LWC458789 MFY458784:MFY458789 MPU458784:MPU458789 MZQ458784:MZQ458789 NJM458784:NJM458789 NTI458784:NTI458789 ODE458784:ODE458789 ONA458784:ONA458789 OWW458784:OWW458789 PGS458784:PGS458789 PQO458784:PQO458789 QAK458784:QAK458789 QKG458784:QKG458789 QUC458784:QUC458789 RDY458784:RDY458789 RNU458784:RNU458789 RXQ458784:RXQ458789 SHM458784:SHM458789 SRI458784:SRI458789 TBE458784:TBE458789 TLA458784:TLA458789 TUW458784:TUW458789 UES458784:UES458789 UOO458784:UOO458789 UYK458784:UYK458789 VIG458784:VIG458789 VSC458784:VSC458789 WBY458784:WBY458789 WLU458784:WLU458789 WVQ458784:WVQ458789 I524320:I524325 JE524320:JE524325 TA524320:TA524325 ACW524320:ACW524325 AMS524320:AMS524325 AWO524320:AWO524325 BGK524320:BGK524325 BQG524320:BQG524325 CAC524320:CAC524325 CJY524320:CJY524325 CTU524320:CTU524325 DDQ524320:DDQ524325 DNM524320:DNM524325 DXI524320:DXI524325 EHE524320:EHE524325 ERA524320:ERA524325 FAW524320:FAW524325 FKS524320:FKS524325 FUO524320:FUO524325 GEK524320:GEK524325 GOG524320:GOG524325 GYC524320:GYC524325 HHY524320:HHY524325 HRU524320:HRU524325 IBQ524320:IBQ524325 ILM524320:ILM524325 IVI524320:IVI524325 JFE524320:JFE524325 JPA524320:JPA524325 JYW524320:JYW524325 KIS524320:KIS524325 KSO524320:KSO524325 LCK524320:LCK524325 LMG524320:LMG524325 LWC524320:LWC524325 MFY524320:MFY524325 MPU524320:MPU524325 MZQ524320:MZQ524325 NJM524320:NJM524325 NTI524320:NTI524325 ODE524320:ODE524325 ONA524320:ONA524325 OWW524320:OWW524325 PGS524320:PGS524325 PQO524320:PQO524325 QAK524320:QAK524325 QKG524320:QKG524325 QUC524320:QUC524325 RDY524320:RDY524325 RNU524320:RNU524325 RXQ524320:RXQ524325 SHM524320:SHM524325 SRI524320:SRI524325 TBE524320:TBE524325 TLA524320:TLA524325 TUW524320:TUW524325 UES524320:UES524325 UOO524320:UOO524325 UYK524320:UYK524325 VIG524320:VIG524325 VSC524320:VSC524325 WBY524320:WBY524325 WLU524320:WLU524325 WVQ524320:WVQ524325 I589856:I589861 JE589856:JE589861 TA589856:TA589861 ACW589856:ACW589861 AMS589856:AMS589861 AWO589856:AWO589861 BGK589856:BGK589861 BQG589856:BQG589861 CAC589856:CAC589861 CJY589856:CJY589861 CTU589856:CTU589861 DDQ589856:DDQ589861 DNM589856:DNM589861 DXI589856:DXI589861 EHE589856:EHE589861 ERA589856:ERA589861 FAW589856:FAW589861 FKS589856:FKS589861 FUO589856:FUO589861 GEK589856:GEK589861 GOG589856:GOG589861 GYC589856:GYC589861 HHY589856:HHY589861 HRU589856:HRU589861 IBQ589856:IBQ589861 ILM589856:ILM589861 IVI589856:IVI589861 JFE589856:JFE589861 JPA589856:JPA589861 JYW589856:JYW589861 KIS589856:KIS589861 KSO589856:KSO589861 LCK589856:LCK589861 LMG589856:LMG589861 LWC589856:LWC589861 MFY589856:MFY589861 MPU589856:MPU589861 MZQ589856:MZQ589861 NJM589856:NJM589861 NTI589856:NTI589861 ODE589856:ODE589861 ONA589856:ONA589861 OWW589856:OWW589861 PGS589856:PGS589861 PQO589856:PQO589861 QAK589856:QAK589861 QKG589856:QKG589861 QUC589856:QUC589861 RDY589856:RDY589861 RNU589856:RNU589861 RXQ589856:RXQ589861 SHM589856:SHM589861 SRI589856:SRI589861 TBE589856:TBE589861 TLA589856:TLA589861 TUW589856:TUW589861 UES589856:UES589861 UOO589856:UOO589861 UYK589856:UYK589861 VIG589856:VIG589861 VSC589856:VSC589861 WBY589856:WBY589861 WLU589856:WLU589861 WVQ589856:WVQ589861 I655392:I655397 JE655392:JE655397 TA655392:TA655397 ACW655392:ACW655397 AMS655392:AMS655397 AWO655392:AWO655397 BGK655392:BGK655397 BQG655392:BQG655397 CAC655392:CAC655397 CJY655392:CJY655397 CTU655392:CTU655397 DDQ655392:DDQ655397 DNM655392:DNM655397 DXI655392:DXI655397 EHE655392:EHE655397 ERA655392:ERA655397 FAW655392:FAW655397 FKS655392:FKS655397 FUO655392:FUO655397 GEK655392:GEK655397 GOG655392:GOG655397 GYC655392:GYC655397 HHY655392:HHY655397 HRU655392:HRU655397 IBQ655392:IBQ655397 ILM655392:ILM655397 IVI655392:IVI655397 JFE655392:JFE655397 JPA655392:JPA655397 JYW655392:JYW655397 KIS655392:KIS655397 KSO655392:KSO655397 LCK655392:LCK655397 LMG655392:LMG655397 LWC655392:LWC655397 MFY655392:MFY655397 MPU655392:MPU655397 MZQ655392:MZQ655397 NJM655392:NJM655397 NTI655392:NTI655397 ODE655392:ODE655397 ONA655392:ONA655397 OWW655392:OWW655397 PGS655392:PGS655397 PQO655392:PQO655397 QAK655392:QAK655397 QKG655392:QKG655397 QUC655392:QUC655397 RDY655392:RDY655397 RNU655392:RNU655397 RXQ655392:RXQ655397 SHM655392:SHM655397 SRI655392:SRI655397 TBE655392:TBE655397 TLA655392:TLA655397 TUW655392:TUW655397 UES655392:UES655397 UOO655392:UOO655397 UYK655392:UYK655397 VIG655392:VIG655397 VSC655392:VSC655397 WBY655392:WBY655397 WLU655392:WLU655397 WVQ655392:WVQ655397 I720928:I720933 JE720928:JE720933 TA720928:TA720933 ACW720928:ACW720933 AMS720928:AMS720933 AWO720928:AWO720933 BGK720928:BGK720933 BQG720928:BQG720933 CAC720928:CAC720933 CJY720928:CJY720933 CTU720928:CTU720933 DDQ720928:DDQ720933 DNM720928:DNM720933 DXI720928:DXI720933 EHE720928:EHE720933 ERA720928:ERA720933 FAW720928:FAW720933 FKS720928:FKS720933 FUO720928:FUO720933 GEK720928:GEK720933 GOG720928:GOG720933 GYC720928:GYC720933 HHY720928:HHY720933 HRU720928:HRU720933 IBQ720928:IBQ720933 ILM720928:ILM720933 IVI720928:IVI720933 JFE720928:JFE720933 JPA720928:JPA720933 JYW720928:JYW720933 KIS720928:KIS720933 KSO720928:KSO720933 LCK720928:LCK720933 LMG720928:LMG720933 LWC720928:LWC720933 MFY720928:MFY720933 MPU720928:MPU720933 MZQ720928:MZQ720933 NJM720928:NJM720933 NTI720928:NTI720933 ODE720928:ODE720933 ONA720928:ONA720933 OWW720928:OWW720933 PGS720928:PGS720933 PQO720928:PQO720933 QAK720928:QAK720933 QKG720928:QKG720933 QUC720928:QUC720933 RDY720928:RDY720933 RNU720928:RNU720933 RXQ720928:RXQ720933 SHM720928:SHM720933 SRI720928:SRI720933 TBE720928:TBE720933 TLA720928:TLA720933 TUW720928:TUW720933 UES720928:UES720933 UOO720928:UOO720933 UYK720928:UYK720933 VIG720928:VIG720933 VSC720928:VSC720933 WBY720928:WBY720933 WLU720928:WLU720933 WVQ720928:WVQ720933 I786464:I786469 JE786464:JE786469 TA786464:TA786469 ACW786464:ACW786469 AMS786464:AMS786469 AWO786464:AWO786469 BGK786464:BGK786469 BQG786464:BQG786469 CAC786464:CAC786469 CJY786464:CJY786469 CTU786464:CTU786469 DDQ786464:DDQ786469 DNM786464:DNM786469 DXI786464:DXI786469 EHE786464:EHE786469 ERA786464:ERA786469 FAW786464:FAW786469 FKS786464:FKS786469 FUO786464:FUO786469 GEK786464:GEK786469 GOG786464:GOG786469 GYC786464:GYC786469 HHY786464:HHY786469 HRU786464:HRU786469 IBQ786464:IBQ786469 ILM786464:ILM786469 IVI786464:IVI786469 JFE786464:JFE786469 JPA786464:JPA786469 JYW786464:JYW786469 KIS786464:KIS786469 KSO786464:KSO786469 LCK786464:LCK786469 LMG786464:LMG786469 LWC786464:LWC786469 MFY786464:MFY786469 MPU786464:MPU786469 MZQ786464:MZQ786469 NJM786464:NJM786469 NTI786464:NTI786469 ODE786464:ODE786469 ONA786464:ONA786469 OWW786464:OWW786469 PGS786464:PGS786469 PQO786464:PQO786469 QAK786464:QAK786469 QKG786464:QKG786469 QUC786464:QUC786469 RDY786464:RDY786469 RNU786464:RNU786469 RXQ786464:RXQ786469 SHM786464:SHM786469 SRI786464:SRI786469 TBE786464:TBE786469 TLA786464:TLA786469 TUW786464:TUW786469 UES786464:UES786469 UOO786464:UOO786469 UYK786464:UYK786469 VIG786464:VIG786469 VSC786464:VSC786469 WBY786464:WBY786469 WLU786464:WLU786469 WVQ786464:WVQ786469 I852000:I852005 JE852000:JE852005 TA852000:TA852005 ACW852000:ACW852005 AMS852000:AMS852005 AWO852000:AWO852005 BGK852000:BGK852005 BQG852000:BQG852005 CAC852000:CAC852005 CJY852000:CJY852005 CTU852000:CTU852005 DDQ852000:DDQ852005 DNM852000:DNM852005 DXI852000:DXI852005 EHE852000:EHE852005 ERA852000:ERA852005 FAW852000:FAW852005 FKS852000:FKS852005 FUO852000:FUO852005 GEK852000:GEK852005 GOG852000:GOG852005 GYC852000:GYC852005 HHY852000:HHY852005 HRU852000:HRU852005 IBQ852000:IBQ852005 ILM852000:ILM852005 IVI852000:IVI852005 JFE852000:JFE852005 JPA852000:JPA852005 JYW852000:JYW852005 KIS852000:KIS852005 KSO852000:KSO852005 LCK852000:LCK852005 LMG852000:LMG852005 LWC852000:LWC852005 MFY852000:MFY852005 MPU852000:MPU852005 MZQ852000:MZQ852005 NJM852000:NJM852005 NTI852000:NTI852005 ODE852000:ODE852005 ONA852000:ONA852005 OWW852000:OWW852005 PGS852000:PGS852005 PQO852000:PQO852005 QAK852000:QAK852005 QKG852000:QKG852005 QUC852000:QUC852005 RDY852000:RDY852005 RNU852000:RNU852005 RXQ852000:RXQ852005 SHM852000:SHM852005 SRI852000:SRI852005 TBE852000:TBE852005 TLA852000:TLA852005 TUW852000:TUW852005 UES852000:UES852005 UOO852000:UOO852005 UYK852000:UYK852005 VIG852000:VIG852005 VSC852000:VSC852005 WBY852000:WBY852005 WLU852000:WLU852005 WVQ852000:WVQ852005 I917536:I917541 JE917536:JE917541 TA917536:TA917541 ACW917536:ACW917541 AMS917536:AMS917541 AWO917536:AWO917541 BGK917536:BGK917541 BQG917536:BQG917541 CAC917536:CAC917541 CJY917536:CJY917541 CTU917536:CTU917541 DDQ917536:DDQ917541 DNM917536:DNM917541 DXI917536:DXI917541 EHE917536:EHE917541 ERA917536:ERA917541 FAW917536:FAW917541 FKS917536:FKS917541 FUO917536:FUO917541 GEK917536:GEK917541 GOG917536:GOG917541 GYC917536:GYC917541 HHY917536:HHY917541 HRU917536:HRU917541 IBQ917536:IBQ917541 ILM917536:ILM917541 IVI917536:IVI917541 JFE917536:JFE917541 JPA917536:JPA917541 JYW917536:JYW917541 KIS917536:KIS917541 KSO917536:KSO917541 LCK917536:LCK917541 LMG917536:LMG917541 LWC917536:LWC917541 MFY917536:MFY917541 MPU917536:MPU917541 MZQ917536:MZQ917541 NJM917536:NJM917541 NTI917536:NTI917541 ODE917536:ODE917541 ONA917536:ONA917541 OWW917536:OWW917541 PGS917536:PGS917541 PQO917536:PQO917541 QAK917536:QAK917541 QKG917536:QKG917541 QUC917536:QUC917541 RDY917536:RDY917541 RNU917536:RNU917541 RXQ917536:RXQ917541 SHM917536:SHM917541 SRI917536:SRI917541 TBE917536:TBE917541 TLA917536:TLA917541 TUW917536:TUW917541 UES917536:UES917541 UOO917536:UOO917541 UYK917536:UYK917541 VIG917536:VIG917541 VSC917536:VSC917541 WBY917536:WBY917541 WLU917536:WLU917541 WVQ917536:WVQ917541 I983072:I983077 JE983072:JE983077 TA983072:TA983077 ACW983072:ACW983077 AMS983072:AMS983077 AWO983072:AWO983077 BGK983072:BGK983077 BQG983072:BQG983077 CAC983072:CAC983077 CJY983072:CJY983077 CTU983072:CTU983077 DDQ983072:DDQ983077 DNM983072:DNM983077 DXI983072:DXI983077 EHE983072:EHE983077 ERA983072:ERA983077 FAW983072:FAW983077 FKS983072:FKS983077 FUO983072:FUO983077 GEK983072:GEK983077 GOG983072:GOG983077 GYC983072:GYC983077 HHY983072:HHY983077 HRU983072:HRU983077 IBQ983072:IBQ983077 ILM983072:ILM983077 IVI983072:IVI983077 JFE983072:JFE983077 JPA983072:JPA983077 JYW983072:JYW983077 KIS983072:KIS983077 KSO983072:KSO983077 LCK983072:LCK983077 LMG983072:LMG983077 LWC983072:LWC983077 MFY983072:MFY983077 MPU983072:MPU983077 MZQ983072:MZQ983077 NJM983072:NJM983077 NTI983072:NTI983077 ODE983072:ODE983077 ONA983072:ONA983077 OWW983072:OWW983077 PGS983072:PGS983077 PQO983072:PQO983077 QAK983072:QAK983077 QKG983072:QKG983077 QUC983072:QUC983077 RDY983072:RDY983077 RNU983072:RNU983077 RXQ983072:RXQ983077 SHM983072:SHM983077 SRI983072:SRI983077 TBE983072:TBE983077 TLA983072:TLA983077 TUW983072:TUW983077 UES983072:UES983077 UOO983072:UOO983077 UYK983072:UYK983077 VIG983072:VIG983077 VSC983072:VSC983077 WBY983072:WBY983077 WLU983072:WLU983077 WVQ983072:WVQ983077 F32:F37 JB32:JB37 SX32:SX37 ACT32:ACT37 AMP32:AMP37 AWL32:AWL37 BGH32:BGH37 BQD32:BQD37 BZZ32:BZZ37 CJV32:CJV37 CTR32:CTR37 DDN32:DDN37 DNJ32:DNJ37 DXF32:DXF37 EHB32:EHB37 EQX32:EQX37 FAT32:FAT37 FKP32:FKP37 FUL32:FUL37 GEH32:GEH37 GOD32:GOD37 GXZ32:GXZ37 HHV32:HHV37 HRR32:HRR37 IBN32:IBN37 ILJ32:ILJ37 IVF32:IVF37 JFB32:JFB37 JOX32:JOX37 JYT32:JYT37 KIP32:KIP37 KSL32:KSL37 LCH32:LCH37 LMD32:LMD37 LVZ32:LVZ37 MFV32:MFV37 MPR32:MPR37 MZN32:MZN37 NJJ32:NJJ37 NTF32:NTF37 ODB32:ODB37 OMX32:OMX37 OWT32:OWT37 PGP32:PGP37 PQL32:PQL37 QAH32:QAH37 QKD32:QKD37 QTZ32:QTZ37 RDV32:RDV37 RNR32:RNR37 RXN32:RXN37 SHJ32:SHJ37 SRF32:SRF37 TBB32:TBB37 TKX32:TKX37 TUT32:TUT37 UEP32:UEP37 UOL32:UOL37 UYH32:UYH37 VID32:VID37 VRZ32:VRZ37 WBV32:WBV37 WLR32:WLR37 WVN32:WVN37 F65568:F65573 JB65568:JB65573 SX65568:SX65573 ACT65568:ACT65573 AMP65568:AMP65573 AWL65568:AWL65573 BGH65568:BGH65573 BQD65568:BQD65573 BZZ65568:BZZ65573 CJV65568:CJV65573 CTR65568:CTR65573 DDN65568:DDN65573 DNJ65568:DNJ65573 DXF65568:DXF65573 EHB65568:EHB65573 EQX65568:EQX65573 FAT65568:FAT65573 FKP65568:FKP65573 FUL65568:FUL65573 GEH65568:GEH65573 GOD65568:GOD65573 GXZ65568:GXZ65573 HHV65568:HHV65573 HRR65568:HRR65573 IBN65568:IBN65573 ILJ65568:ILJ65573 IVF65568:IVF65573 JFB65568:JFB65573 JOX65568:JOX65573 JYT65568:JYT65573 KIP65568:KIP65573 KSL65568:KSL65573 LCH65568:LCH65573 LMD65568:LMD65573 LVZ65568:LVZ65573 MFV65568:MFV65573 MPR65568:MPR65573 MZN65568:MZN65573 NJJ65568:NJJ65573 NTF65568:NTF65573 ODB65568:ODB65573 OMX65568:OMX65573 OWT65568:OWT65573 PGP65568:PGP65573 PQL65568:PQL65573 QAH65568:QAH65573 QKD65568:QKD65573 QTZ65568:QTZ65573 RDV65568:RDV65573 RNR65568:RNR65573 RXN65568:RXN65573 SHJ65568:SHJ65573 SRF65568:SRF65573 TBB65568:TBB65573 TKX65568:TKX65573 TUT65568:TUT65573 UEP65568:UEP65573 UOL65568:UOL65573 UYH65568:UYH65573 VID65568:VID65573 VRZ65568:VRZ65573 WBV65568:WBV65573 WLR65568:WLR65573 WVN65568:WVN65573 F131104:F131109 JB131104:JB131109 SX131104:SX131109 ACT131104:ACT131109 AMP131104:AMP131109 AWL131104:AWL131109 BGH131104:BGH131109 BQD131104:BQD131109 BZZ131104:BZZ131109 CJV131104:CJV131109 CTR131104:CTR131109 DDN131104:DDN131109 DNJ131104:DNJ131109 DXF131104:DXF131109 EHB131104:EHB131109 EQX131104:EQX131109 FAT131104:FAT131109 FKP131104:FKP131109 FUL131104:FUL131109 GEH131104:GEH131109 GOD131104:GOD131109 GXZ131104:GXZ131109 HHV131104:HHV131109 HRR131104:HRR131109 IBN131104:IBN131109 ILJ131104:ILJ131109 IVF131104:IVF131109 JFB131104:JFB131109 JOX131104:JOX131109 JYT131104:JYT131109 KIP131104:KIP131109 KSL131104:KSL131109 LCH131104:LCH131109 LMD131104:LMD131109 LVZ131104:LVZ131109 MFV131104:MFV131109 MPR131104:MPR131109 MZN131104:MZN131109 NJJ131104:NJJ131109 NTF131104:NTF131109 ODB131104:ODB131109 OMX131104:OMX131109 OWT131104:OWT131109 PGP131104:PGP131109 PQL131104:PQL131109 QAH131104:QAH131109 QKD131104:QKD131109 QTZ131104:QTZ131109 RDV131104:RDV131109 RNR131104:RNR131109 RXN131104:RXN131109 SHJ131104:SHJ131109 SRF131104:SRF131109 TBB131104:TBB131109 TKX131104:TKX131109 TUT131104:TUT131109 UEP131104:UEP131109 UOL131104:UOL131109 UYH131104:UYH131109 VID131104:VID131109 VRZ131104:VRZ131109 WBV131104:WBV131109 WLR131104:WLR131109 WVN131104:WVN131109 F196640:F196645 JB196640:JB196645 SX196640:SX196645 ACT196640:ACT196645 AMP196640:AMP196645 AWL196640:AWL196645 BGH196640:BGH196645 BQD196640:BQD196645 BZZ196640:BZZ196645 CJV196640:CJV196645 CTR196640:CTR196645 DDN196640:DDN196645 DNJ196640:DNJ196645 DXF196640:DXF196645 EHB196640:EHB196645 EQX196640:EQX196645 FAT196640:FAT196645 FKP196640:FKP196645 FUL196640:FUL196645 GEH196640:GEH196645 GOD196640:GOD196645 GXZ196640:GXZ196645 HHV196640:HHV196645 HRR196640:HRR196645 IBN196640:IBN196645 ILJ196640:ILJ196645 IVF196640:IVF196645 JFB196640:JFB196645 JOX196640:JOX196645 JYT196640:JYT196645 KIP196640:KIP196645 KSL196640:KSL196645 LCH196640:LCH196645 LMD196640:LMD196645 LVZ196640:LVZ196645 MFV196640:MFV196645 MPR196640:MPR196645 MZN196640:MZN196645 NJJ196640:NJJ196645 NTF196640:NTF196645 ODB196640:ODB196645 OMX196640:OMX196645 OWT196640:OWT196645 PGP196640:PGP196645 PQL196640:PQL196645 QAH196640:QAH196645 QKD196640:QKD196645 QTZ196640:QTZ196645 RDV196640:RDV196645 RNR196640:RNR196645 RXN196640:RXN196645 SHJ196640:SHJ196645 SRF196640:SRF196645 TBB196640:TBB196645 TKX196640:TKX196645 TUT196640:TUT196645 UEP196640:UEP196645 UOL196640:UOL196645 UYH196640:UYH196645 VID196640:VID196645 VRZ196640:VRZ196645 WBV196640:WBV196645 WLR196640:WLR196645 WVN196640:WVN196645 F262176:F262181 JB262176:JB262181 SX262176:SX262181 ACT262176:ACT262181 AMP262176:AMP262181 AWL262176:AWL262181 BGH262176:BGH262181 BQD262176:BQD262181 BZZ262176:BZZ262181 CJV262176:CJV262181 CTR262176:CTR262181 DDN262176:DDN262181 DNJ262176:DNJ262181 DXF262176:DXF262181 EHB262176:EHB262181 EQX262176:EQX262181 FAT262176:FAT262181 FKP262176:FKP262181 FUL262176:FUL262181 GEH262176:GEH262181 GOD262176:GOD262181 GXZ262176:GXZ262181 HHV262176:HHV262181 HRR262176:HRR262181 IBN262176:IBN262181 ILJ262176:ILJ262181 IVF262176:IVF262181 JFB262176:JFB262181 JOX262176:JOX262181 JYT262176:JYT262181 KIP262176:KIP262181 KSL262176:KSL262181 LCH262176:LCH262181 LMD262176:LMD262181 LVZ262176:LVZ262181 MFV262176:MFV262181 MPR262176:MPR262181 MZN262176:MZN262181 NJJ262176:NJJ262181 NTF262176:NTF262181 ODB262176:ODB262181 OMX262176:OMX262181 OWT262176:OWT262181 PGP262176:PGP262181 PQL262176:PQL262181 QAH262176:QAH262181 QKD262176:QKD262181 QTZ262176:QTZ262181 RDV262176:RDV262181 RNR262176:RNR262181 RXN262176:RXN262181 SHJ262176:SHJ262181 SRF262176:SRF262181 TBB262176:TBB262181 TKX262176:TKX262181 TUT262176:TUT262181 UEP262176:UEP262181 UOL262176:UOL262181 UYH262176:UYH262181 VID262176:VID262181 VRZ262176:VRZ262181 WBV262176:WBV262181 WLR262176:WLR262181 WVN262176:WVN262181 F327712:F327717 JB327712:JB327717 SX327712:SX327717 ACT327712:ACT327717 AMP327712:AMP327717 AWL327712:AWL327717 BGH327712:BGH327717 BQD327712:BQD327717 BZZ327712:BZZ327717 CJV327712:CJV327717 CTR327712:CTR327717 DDN327712:DDN327717 DNJ327712:DNJ327717 DXF327712:DXF327717 EHB327712:EHB327717 EQX327712:EQX327717 FAT327712:FAT327717 FKP327712:FKP327717 FUL327712:FUL327717 GEH327712:GEH327717 GOD327712:GOD327717 GXZ327712:GXZ327717 HHV327712:HHV327717 HRR327712:HRR327717 IBN327712:IBN327717 ILJ327712:ILJ327717 IVF327712:IVF327717 JFB327712:JFB327717 JOX327712:JOX327717 JYT327712:JYT327717 KIP327712:KIP327717 KSL327712:KSL327717 LCH327712:LCH327717 LMD327712:LMD327717 LVZ327712:LVZ327717 MFV327712:MFV327717 MPR327712:MPR327717 MZN327712:MZN327717 NJJ327712:NJJ327717 NTF327712:NTF327717 ODB327712:ODB327717 OMX327712:OMX327717 OWT327712:OWT327717 PGP327712:PGP327717 PQL327712:PQL327717 QAH327712:QAH327717 QKD327712:QKD327717 QTZ327712:QTZ327717 RDV327712:RDV327717 RNR327712:RNR327717 RXN327712:RXN327717 SHJ327712:SHJ327717 SRF327712:SRF327717 TBB327712:TBB327717 TKX327712:TKX327717 TUT327712:TUT327717 UEP327712:UEP327717 UOL327712:UOL327717 UYH327712:UYH327717 VID327712:VID327717 VRZ327712:VRZ327717 WBV327712:WBV327717 WLR327712:WLR327717 WVN327712:WVN327717 F393248:F393253 JB393248:JB393253 SX393248:SX393253 ACT393248:ACT393253 AMP393248:AMP393253 AWL393248:AWL393253 BGH393248:BGH393253 BQD393248:BQD393253 BZZ393248:BZZ393253 CJV393248:CJV393253 CTR393248:CTR393253 DDN393248:DDN393253 DNJ393248:DNJ393253 DXF393248:DXF393253 EHB393248:EHB393253 EQX393248:EQX393253 FAT393248:FAT393253 FKP393248:FKP393253 FUL393248:FUL393253 GEH393248:GEH393253 GOD393248:GOD393253 GXZ393248:GXZ393253 HHV393248:HHV393253 HRR393248:HRR393253 IBN393248:IBN393253 ILJ393248:ILJ393253 IVF393248:IVF393253 JFB393248:JFB393253 JOX393248:JOX393253 JYT393248:JYT393253 KIP393248:KIP393253 KSL393248:KSL393253 LCH393248:LCH393253 LMD393248:LMD393253 LVZ393248:LVZ393253 MFV393248:MFV393253 MPR393248:MPR393253 MZN393248:MZN393253 NJJ393248:NJJ393253 NTF393248:NTF393253 ODB393248:ODB393253 OMX393248:OMX393253 OWT393248:OWT393253 PGP393248:PGP393253 PQL393248:PQL393253 QAH393248:QAH393253 QKD393248:QKD393253 QTZ393248:QTZ393253 RDV393248:RDV393253 RNR393248:RNR393253 RXN393248:RXN393253 SHJ393248:SHJ393253 SRF393248:SRF393253 TBB393248:TBB393253 TKX393248:TKX393253 TUT393248:TUT393253 UEP393248:UEP393253 UOL393248:UOL393253 UYH393248:UYH393253 VID393248:VID393253 VRZ393248:VRZ393253 WBV393248:WBV393253 WLR393248:WLR393253 WVN393248:WVN393253 F458784:F458789 JB458784:JB458789 SX458784:SX458789 ACT458784:ACT458789 AMP458784:AMP458789 AWL458784:AWL458789 BGH458784:BGH458789 BQD458784:BQD458789 BZZ458784:BZZ458789 CJV458784:CJV458789 CTR458784:CTR458789 DDN458784:DDN458789 DNJ458784:DNJ458789 DXF458784:DXF458789 EHB458784:EHB458789 EQX458784:EQX458789 FAT458784:FAT458789 FKP458784:FKP458789 FUL458784:FUL458789 GEH458784:GEH458789 GOD458784:GOD458789 GXZ458784:GXZ458789 HHV458784:HHV458789 HRR458784:HRR458789 IBN458784:IBN458789 ILJ458784:ILJ458789 IVF458784:IVF458789 JFB458784:JFB458789 JOX458784:JOX458789 JYT458784:JYT458789 KIP458784:KIP458789 KSL458784:KSL458789 LCH458784:LCH458789 LMD458784:LMD458789 LVZ458784:LVZ458789 MFV458784:MFV458789 MPR458784:MPR458789 MZN458784:MZN458789 NJJ458784:NJJ458789 NTF458784:NTF458789 ODB458784:ODB458789 OMX458784:OMX458789 OWT458784:OWT458789 PGP458784:PGP458789 PQL458784:PQL458789 QAH458784:QAH458789 QKD458784:QKD458789 QTZ458784:QTZ458789 RDV458784:RDV458789 RNR458784:RNR458789 RXN458784:RXN458789 SHJ458784:SHJ458789 SRF458784:SRF458789 TBB458784:TBB458789 TKX458784:TKX458789 TUT458784:TUT458789 UEP458784:UEP458789 UOL458784:UOL458789 UYH458784:UYH458789 VID458784:VID458789 VRZ458784:VRZ458789 WBV458784:WBV458789 WLR458784:WLR458789 WVN458784:WVN458789 F524320:F524325 JB524320:JB524325 SX524320:SX524325 ACT524320:ACT524325 AMP524320:AMP524325 AWL524320:AWL524325 BGH524320:BGH524325 BQD524320:BQD524325 BZZ524320:BZZ524325 CJV524320:CJV524325 CTR524320:CTR524325 DDN524320:DDN524325 DNJ524320:DNJ524325 DXF524320:DXF524325 EHB524320:EHB524325 EQX524320:EQX524325 FAT524320:FAT524325 FKP524320:FKP524325 FUL524320:FUL524325 GEH524320:GEH524325 GOD524320:GOD524325 GXZ524320:GXZ524325 HHV524320:HHV524325 HRR524320:HRR524325 IBN524320:IBN524325 ILJ524320:ILJ524325 IVF524320:IVF524325 JFB524320:JFB524325 JOX524320:JOX524325 JYT524320:JYT524325 KIP524320:KIP524325 KSL524320:KSL524325 LCH524320:LCH524325 LMD524320:LMD524325 LVZ524320:LVZ524325 MFV524320:MFV524325 MPR524320:MPR524325 MZN524320:MZN524325 NJJ524320:NJJ524325 NTF524320:NTF524325 ODB524320:ODB524325 OMX524320:OMX524325 OWT524320:OWT524325 PGP524320:PGP524325 PQL524320:PQL524325 QAH524320:QAH524325 QKD524320:QKD524325 QTZ524320:QTZ524325 RDV524320:RDV524325 RNR524320:RNR524325 RXN524320:RXN524325 SHJ524320:SHJ524325 SRF524320:SRF524325 TBB524320:TBB524325 TKX524320:TKX524325 TUT524320:TUT524325 UEP524320:UEP524325 UOL524320:UOL524325 UYH524320:UYH524325 VID524320:VID524325 VRZ524320:VRZ524325 WBV524320:WBV524325 WLR524320:WLR524325 WVN524320:WVN524325 F589856:F589861 JB589856:JB589861 SX589856:SX589861 ACT589856:ACT589861 AMP589856:AMP589861 AWL589856:AWL589861 BGH589856:BGH589861 BQD589856:BQD589861 BZZ589856:BZZ589861 CJV589856:CJV589861 CTR589856:CTR589861 DDN589856:DDN589861 DNJ589856:DNJ589861 DXF589856:DXF589861 EHB589856:EHB589861 EQX589856:EQX589861 FAT589856:FAT589861 FKP589856:FKP589861 FUL589856:FUL589861 GEH589856:GEH589861 GOD589856:GOD589861 GXZ589856:GXZ589861 HHV589856:HHV589861 HRR589856:HRR589861 IBN589856:IBN589861 ILJ589856:ILJ589861 IVF589856:IVF589861 JFB589856:JFB589861 JOX589856:JOX589861 JYT589856:JYT589861 KIP589856:KIP589861 KSL589856:KSL589861 LCH589856:LCH589861 LMD589856:LMD589861 LVZ589856:LVZ589861 MFV589856:MFV589861 MPR589856:MPR589861 MZN589856:MZN589861 NJJ589856:NJJ589861 NTF589856:NTF589861 ODB589856:ODB589861 OMX589856:OMX589861 OWT589856:OWT589861 PGP589856:PGP589861 PQL589856:PQL589861 QAH589856:QAH589861 QKD589856:QKD589861 QTZ589856:QTZ589861 RDV589856:RDV589861 RNR589856:RNR589861 RXN589856:RXN589861 SHJ589856:SHJ589861 SRF589856:SRF589861 TBB589856:TBB589861 TKX589856:TKX589861 TUT589856:TUT589861 UEP589856:UEP589861 UOL589856:UOL589861 UYH589856:UYH589861 VID589856:VID589861 VRZ589856:VRZ589861 WBV589856:WBV589861 WLR589856:WLR589861 WVN589856:WVN589861 F655392:F655397 JB655392:JB655397 SX655392:SX655397 ACT655392:ACT655397 AMP655392:AMP655397 AWL655392:AWL655397 BGH655392:BGH655397 BQD655392:BQD655397 BZZ655392:BZZ655397 CJV655392:CJV655397 CTR655392:CTR655397 DDN655392:DDN655397 DNJ655392:DNJ655397 DXF655392:DXF655397 EHB655392:EHB655397 EQX655392:EQX655397 FAT655392:FAT655397 FKP655392:FKP655397 FUL655392:FUL655397 GEH655392:GEH655397 GOD655392:GOD655397 GXZ655392:GXZ655397 HHV655392:HHV655397 HRR655392:HRR655397 IBN655392:IBN655397 ILJ655392:ILJ655397 IVF655392:IVF655397 JFB655392:JFB655397 JOX655392:JOX655397 JYT655392:JYT655397 KIP655392:KIP655397 KSL655392:KSL655397 LCH655392:LCH655397 LMD655392:LMD655397 LVZ655392:LVZ655397 MFV655392:MFV655397 MPR655392:MPR655397 MZN655392:MZN655397 NJJ655392:NJJ655397 NTF655392:NTF655397 ODB655392:ODB655397 OMX655392:OMX655397 OWT655392:OWT655397 PGP655392:PGP655397 PQL655392:PQL655397 QAH655392:QAH655397 QKD655392:QKD655397 QTZ655392:QTZ655397 RDV655392:RDV655397 RNR655392:RNR655397 RXN655392:RXN655397 SHJ655392:SHJ655397 SRF655392:SRF655397 TBB655392:TBB655397 TKX655392:TKX655397 TUT655392:TUT655397 UEP655392:UEP655397 UOL655392:UOL655397 UYH655392:UYH655397 VID655392:VID655397 VRZ655392:VRZ655397 WBV655392:WBV655397 WLR655392:WLR655397 WVN655392:WVN655397 F720928:F720933 JB720928:JB720933 SX720928:SX720933 ACT720928:ACT720933 AMP720928:AMP720933 AWL720928:AWL720933 BGH720928:BGH720933 BQD720928:BQD720933 BZZ720928:BZZ720933 CJV720928:CJV720933 CTR720928:CTR720933 DDN720928:DDN720933 DNJ720928:DNJ720933 DXF720928:DXF720933 EHB720928:EHB720933 EQX720928:EQX720933 FAT720928:FAT720933 FKP720928:FKP720933 FUL720928:FUL720933 GEH720928:GEH720933 GOD720928:GOD720933 GXZ720928:GXZ720933 HHV720928:HHV720933 HRR720928:HRR720933 IBN720928:IBN720933 ILJ720928:ILJ720933 IVF720928:IVF720933 JFB720928:JFB720933 JOX720928:JOX720933 JYT720928:JYT720933 KIP720928:KIP720933 KSL720928:KSL720933 LCH720928:LCH720933 LMD720928:LMD720933 LVZ720928:LVZ720933 MFV720928:MFV720933 MPR720928:MPR720933 MZN720928:MZN720933 NJJ720928:NJJ720933 NTF720928:NTF720933 ODB720928:ODB720933 OMX720928:OMX720933 OWT720928:OWT720933 PGP720928:PGP720933 PQL720928:PQL720933 QAH720928:QAH720933 QKD720928:QKD720933 QTZ720928:QTZ720933 RDV720928:RDV720933 RNR720928:RNR720933 RXN720928:RXN720933 SHJ720928:SHJ720933 SRF720928:SRF720933 TBB720928:TBB720933 TKX720928:TKX720933 TUT720928:TUT720933 UEP720928:UEP720933 UOL720928:UOL720933 UYH720928:UYH720933 VID720928:VID720933 VRZ720928:VRZ720933 WBV720928:WBV720933 WLR720928:WLR720933 WVN720928:WVN720933 F786464:F786469 JB786464:JB786469 SX786464:SX786469 ACT786464:ACT786469 AMP786464:AMP786469 AWL786464:AWL786469 BGH786464:BGH786469 BQD786464:BQD786469 BZZ786464:BZZ786469 CJV786464:CJV786469 CTR786464:CTR786469 DDN786464:DDN786469 DNJ786464:DNJ786469 DXF786464:DXF786469 EHB786464:EHB786469 EQX786464:EQX786469 FAT786464:FAT786469 FKP786464:FKP786469 FUL786464:FUL786469 GEH786464:GEH786469 GOD786464:GOD786469 GXZ786464:GXZ786469 HHV786464:HHV786469 HRR786464:HRR786469 IBN786464:IBN786469 ILJ786464:ILJ786469 IVF786464:IVF786469 JFB786464:JFB786469 JOX786464:JOX786469 JYT786464:JYT786469 KIP786464:KIP786469 KSL786464:KSL786469 LCH786464:LCH786469 LMD786464:LMD786469 LVZ786464:LVZ786469 MFV786464:MFV786469 MPR786464:MPR786469 MZN786464:MZN786469 NJJ786464:NJJ786469 NTF786464:NTF786469 ODB786464:ODB786469 OMX786464:OMX786469 OWT786464:OWT786469 PGP786464:PGP786469 PQL786464:PQL786469 QAH786464:QAH786469 QKD786464:QKD786469 QTZ786464:QTZ786469 RDV786464:RDV786469 RNR786464:RNR786469 RXN786464:RXN786469 SHJ786464:SHJ786469 SRF786464:SRF786469 TBB786464:TBB786469 TKX786464:TKX786469 TUT786464:TUT786469 UEP786464:UEP786469 UOL786464:UOL786469 UYH786464:UYH786469 VID786464:VID786469 VRZ786464:VRZ786469 WBV786464:WBV786469 WLR786464:WLR786469 WVN786464:WVN786469 F852000:F852005 JB852000:JB852005 SX852000:SX852005 ACT852000:ACT852005 AMP852000:AMP852005 AWL852000:AWL852005 BGH852000:BGH852005 BQD852000:BQD852005 BZZ852000:BZZ852005 CJV852000:CJV852005 CTR852000:CTR852005 DDN852000:DDN852005 DNJ852000:DNJ852005 DXF852000:DXF852005 EHB852000:EHB852005 EQX852000:EQX852005 FAT852000:FAT852005 FKP852000:FKP852005 FUL852000:FUL852005 GEH852000:GEH852005 GOD852000:GOD852005 GXZ852000:GXZ852005 HHV852000:HHV852005 HRR852000:HRR852005 IBN852000:IBN852005 ILJ852000:ILJ852005 IVF852000:IVF852005 JFB852000:JFB852005 JOX852000:JOX852005 JYT852000:JYT852005 KIP852000:KIP852005 KSL852000:KSL852005 LCH852000:LCH852005 LMD852000:LMD852005 LVZ852000:LVZ852005 MFV852000:MFV852005 MPR852000:MPR852005 MZN852000:MZN852005 NJJ852000:NJJ852005 NTF852000:NTF852005 ODB852000:ODB852005 OMX852000:OMX852005 OWT852000:OWT852005 PGP852000:PGP852005 PQL852000:PQL852005 QAH852000:QAH852005 QKD852000:QKD852005 QTZ852000:QTZ852005 RDV852000:RDV852005 RNR852000:RNR852005 RXN852000:RXN852005 SHJ852000:SHJ852005 SRF852000:SRF852005 TBB852000:TBB852005 TKX852000:TKX852005 TUT852000:TUT852005 UEP852000:UEP852005 UOL852000:UOL852005 UYH852000:UYH852005 VID852000:VID852005 VRZ852000:VRZ852005 WBV852000:WBV852005 WLR852000:WLR852005 WVN852000:WVN852005 F917536:F917541 JB917536:JB917541 SX917536:SX917541 ACT917536:ACT917541 AMP917536:AMP917541 AWL917536:AWL917541 BGH917536:BGH917541 BQD917536:BQD917541 BZZ917536:BZZ917541 CJV917536:CJV917541 CTR917536:CTR917541 DDN917536:DDN917541 DNJ917536:DNJ917541 DXF917536:DXF917541 EHB917536:EHB917541 EQX917536:EQX917541 FAT917536:FAT917541 FKP917536:FKP917541 FUL917536:FUL917541 GEH917536:GEH917541 GOD917536:GOD917541 GXZ917536:GXZ917541 HHV917536:HHV917541 HRR917536:HRR917541 IBN917536:IBN917541 ILJ917536:ILJ917541 IVF917536:IVF917541 JFB917536:JFB917541 JOX917536:JOX917541 JYT917536:JYT917541 KIP917536:KIP917541 KSL917536:KSL917541 LCH917536:LCH917541 LMD917536:LMD917541 LVZ917536:LVZ917541 MFV917536:MFV917541 MPR917536:MPR917541 MZN917536:MZN917541 NJJ917536:NJJ917541 NTF917536:NTF917541 ODB917536:ODB917541 OMX917536:OMX917541 OWT917536:OWT917541 PGP917536:PGP917541 PQL917536:PQL917541 QAH917536:QAH917541 QKD917536:QKD917541 QTZ917536:QTZ917541 RDV917536:RDV917541 RNR917536:RNR917541 RXN917536:RXN917541 SHJ917536:SHJ917541 SRF917536:SRF917541 TBB917536:TBB917541 TKX917536:TKX917541 TUT917536:TUT917541 UEP917536:UEP917541 UOL917536:UOL917541 UYH917536:UYH917541 VID917536:VID917541 VRZ917536:VRZ917541 WBV917536:WBV917541 WLR917536:WLR917541 WVN917536:WVN917541 F983072:F983077 JB983072:JB983077 SX983072:SX983077 ACT983072:ACT983077 AMP983072:AMP983077 AWL983072:AWL983077 BGH983072:BGH983077 BQD983072:BQD983077 BZZ983072:BZZ983077 CJV983072:CJV983077 CTR983072:CTR983077 DDN983072:DDN983077 DNJ983072:DNJ983077 DXF983072:DXF983077 EHB983072:EHB983077 EQX983072:EQX983077 FAT983072:FAT983077 FKP983072:FKP983077 FUL983072:FUL983077 GEH983072:GEH983077 GOD983072:GOD983077 GXZ983072:GXZ983077 HHV983072:HHV983077 HRR983072:HRR983077 IBN983072:IBN983077 ILJ983072:ILJ983077 IVF983072:IVF983077 JFB983072:JFB983077 JOX983072:JOX983077 JYT983072:JYT983077 KIP983072:KIP983077 KSL983072:KSL983077 LCH983072:LCH983077 LMD983072:LMD983077 LVZ983072:LVZ983077 MFV983072:MFV983077 MPR983072:MPR983077 MZN983072:MZN983077 NJJ983072:NJJ983077 NTF983072:NTF983077 ODB983072:ODB983077 OMX983072:OMX983077 OWT983072:OWT983077 PGP983072:PGP983077 PQL983072:PQL983077 QAH983072:QAH983077 QKD983072:QKD983077 QTZ983072:QTZ983077 RDV983072:RDV983077 RNR983072:RNR983077 RXN983072:RXN983077 SHJ983072:SHJ983077 SRF983072:SRF983077 TBB983072:TBB983077 TKX983072:TKX983077 TUT983072:TUT983077 UEP983072:UEP983077 UOL983072:UOL983077 UYH983072:UYH983077 VID983072:VID983077 VRZ983072:VRZ983077 WBV983072:WBV983077 WLR983072:WLR983077 WVN983072:WVN983077 I24:I29 JE24:JE29 TA24:TA29 ACW24:ACW29 AMS24:AMS29 AWO24:AWO29 BGK24:BGK29 BQG24:BQG29 CAC24:CAC29 CJY24:CJY29 CTU24:CTU29 DDQ24:DDQ29 DNM24:DNM29 DXI24:DXI29 EHE24:EHE29 ERA24:ERA29 FAW24:FAW29 FKS24:FKS29 FUO24:FUO29 GEK24:GEK29 GOG24:GOG29 GYC24:GYC29 HHY24:HHY29 HRU24:HRU29 IBQ24:IBQ29 ILM24:ILM29 IVI24:IVI29 JFE24:JFE29 JPA24:JPA29 JYW24:JYW29 KIS24:KIS29 KSO24:KSO29 LCK24:LCK29 LMG24:LMG29 LWC24:LWC29 MFY24:MFY29 MPU24:MPU29 MZQ24:MZQ29 NJM24:NJM29 NTI24:NTI29 ODE24:ODE29 ONA24:ONA29 OWW24:OWW29 PGS24:PGS29 PQO24:PQO29 QAK24:QAK29 QKG24:QKG29 QUC24:QUC29 RDY24:RDY29 RNU24:RNU29 RXQ24:RXQ29 SHM24:SHM29 SRI24:SRI29 TBE24:TBE29 TLA24:TLA29 TUW24:TUW29 UES24:UES29 UOO24:UOO29 UYK24:UYK29 VIG24:VIG29 VSC24:VSC29 WBY24:WBY29 WLU24:WLU29 WVQ24:WVQ29 I65560:I65565 JE65560:JE65565 TA65560:TA65565 ACW65560:ACW65565 AMS65560:AMS65565 AWO65560:AWO65565 BGK65560:BGK65565 BQG65560:BQG65565 CAC65560:CAC65565 CJY65560:CJY65565 CTU65560:CTU65565 DDQ65560:DDQ65565 DNM65560:DNM65565 DXI65560:DXI65565 EHE65560:EHE65565 ERA65560:ERA65565 FAW65560:FAW65565 FKS65560:FKS65565 FUO65560:FUO65565 GEK65560:GEK65565 GOG65560:GOG65565 GYC65560:GYC65565 HHY65560:HHY65565 HRU65560:HRU65565 IBQ65560:IBQ65565 ILM65560:ILM65565 IVI65560:IVI65565 JFE65560:JFE65565 JPA65560:JPA65565 JYW65560:JYW65565 KIS65560:KIS65565 KSO65560:KSO65565 LCK65560:LCK65565 LMG65560:LMG65565 LWC65560:LWC65565 MFY65560:MFY65565 MPU65560:MPU65565 MZQ65560:MZQ65565 NJM65560:NJM65565 NTI65560:NTI65565 ODE65560:ODE65565 ONA65560:ONA65565 OWW65560:OWW65565 PGS65560:PGS65565 PQO65560:PQO65565 QAK65560:QAK65565 QKG65560:QKG65565 QUC65560:QUC65565 RDY65560:RDY65565 RNU65560:RNU65565 RXQ65560:RXQ65565 SHM65560:SHM65565 SRI65560:SRI65565 TBE65560:TBE65565 TLA65560:TLA65565 TUW65560:TUW65565 UES65560:UES65565 UOO65560:UOO65565 UYK65560:UYK65565 VIG65560:VIG65565 VSC65560:VSC65565 WBY65560:WBY65565 WLU65560:WLU65565 WVQ65560:WVQ65565 I131096:I131101 JE131096:JE131101 TA131096:TA131101 ACW131096:ACW131101 AMS131096:AMS131101 AWO131096:AWO131101 BGK131096:BGK131101 BQG131096:BQG131101 CAC131096:CAC131101 CJY131096:CJY131101 CTU131096:CTU131101 DDQ131096:DDQ131101 DNM131096:DNM131101 DXI131096:DXI131101 EHE131096:EHE131101 ERA131096:ERA131101 FAW131096:FAW131101 FKS131096:FKS131101 FUO131096:FUO131101 GEK131096:GEK131101 GOG131096:GOG131101 GYC131096:GYC131101 HHY131096:HHY131101 HRU131096:HRU131101 IBQ131096:IBQ131101 ILM131096:ILM131101 IVI131096:IVI131101 JFE131096:JFE131101 JPA131096:JPA131101 JYW131096:JYW131101 KIS131096:KIS131101 KSO131096:KSO131101 LCK131096:LCK131101 LMG131096:LMG131101 LWC131096:LWC131101 MFY131096:MFY131101 MPU131096:MPU131101 MZQ131096:MZQ131101 NJM131096:NJM131101 NTI131096:NTI131101 ODE131096:ODE131101 ONA131096:ONA131101 OWW131096:OWW131101 PGS131096:PGS131101 PQO131096:PQO131101 QAK131096:QAK131101 QKG131096:QKG131101 QUC131096:QUC131101 RDY131096:RDY131101 RNU131096:RNU131101 RXQ131096:RXQ131101 SHM131096:SHM131101 SRI131096:SRI131101 TBE131096:TBE131101 TLA131096:TLA131101 TUW131096:TUW131101 UES131096:UES131101 UOO131096:UOO131101 UYK131096:UYK131101 VIG131096:VIG131101 VSC131096:VSC131101 WBY131096:WBY131101 WLU131096:WLU131101 WVQ131096:WVQ131101 I196632:I196637 JE196632:JE196637 TA196632:TA196637 ACW196632:ACW196637 AMS196632:AMS196637 AWO196632:AWO196637 BGK196632:BGK196637 BQG196632:BQG196637 CAC196632:CAC196637 CJY196632:CJY196637 CTU196632:CTU196637 DDQ196632:DDQ196637 DNM196632:DNM196637 DXI196632:DXI196637 EHE196632:EHE196637 ERA196632:ERA196637 FAW196632:FAW196637 FKS196632:FKS196637 FUO196632:FUO196637 GEK196632:GEK196637 GOG196632:GOG196637 GYC196632:GYC196637 HHY196632:HHY196637 HRU196632:HRU196637 IBQ196632:IBQ196637 ILM196632:ILM196637 IVI196632:IVI196637 JFE196632:JFE196637 JPA196632:JPA196637 JYW196632:JYW196637 KIS196632:KIS196637 KSO196632:KSO196637 LCK196632:LCK196637 LMG196632:LMG196637 LWC196632:LWC196637 MFY196632:MFY196637 MPU196632:MPU196637 MZQ196632:MZQ196637 NJM196632:NJM196637 NTI196632:NTI196637 ODE196632:ODE196637 ONA196632:ONA196637 OWW196632:OWW196637 PGS196632:PGS196637 PQO196632:PQO196637 QAK196632:QAK196637 QKG196632:QKG196637 QUC196632:QUC196637 RDY196632:RDY196637 RNU196632:RNU196637 RXQ196632:RXQ196637 SHM196632:SHM196637 SRI196632:SRI196637 TBE196632:TBE196637 TLA196632:TLA196637 TUW196632:TUW196637 UES196632:UES196637 UOO196632:UOO196637 UYK196632:UYK196637 VIG196632:VIG196637 VSC196632:VSC196637 WBY196632:WBY196637 WLU196632:WLU196637 WVQ196632:WVQ196637 I262168:I262173 JE262168:JE262173 TA262168:TA262173 ACW262168:ACW262173 AMS262168:AMS262173 AWO262168:AWO262173 BGK262168:BGK262173 BQG262168:BQG262173 CAC262168:CAC262173 CJY262168:CJY262173 CTU262168:CTU262173 DDQ262168:DDQ262173 DNM262168:DNM262173 DXI262168:DXI262173 EHE262168:EHE262173 ERA262168:ERA262173 FAW262168:FAW262173 FKS262168:FKS262173 FUO262168:FUO262173 GEK262168:GEK262173 GOG262168:GOG262173 GYC262168:GYC262173 HHY262168:HHY262173 HRU262168:HRU262173 IBQ262168:IBQ262173 ILM262168:ILM262173 IVI262168:IVI262173 JFE262168:JFE262173 JPA262168:JPA262173 JYW262168:JYW262173 KIS262168:KIS262173 KSO262168:KSO262173 LCK262168:LCK262173 LMG262168:LMG262173 LWC262168:LWC262173 MFY262168:MFY262173 MPU262168:MPU262173 MZQ262168:MZQ262173 NJM262168:NJM262173 NTI262168:NTI262173 ODE262168:ODE262173 ONA262168:ONA262173 OWW262168:OWW262173 PGS262168:PGS262173 PQO262168:PQO262173 QAK262168:QAK262173 QKG262168:QKG262173 QUC262168:QUC262173 RDY262168:RDY262173 RNU262168:RNU262173 RXQ262168:RXQ262173 SHM262168:SHM262173 SRI262168:SRI262173 TBE262168:TBE262173 TLA262168:TLA262173 TUW262168:TUW262173 UES262168:UES262173 UOO262168:UOO262173 UYK262168:UYK262173 VIG262168:VIG262173 VSC262168:VSC262173 WBY262168:WBY262173 WLU262168:WLU262173 WVQ262168:WVQ262173 I327704:I327709 JE327704:JE327709 TA327704:TA327709 ACW327704:ACW327709 AMS327704:AMS327709 AWO327704:AWO327709 BGK327704:BGK327709 BQG327704:BQG327709 CAC327704:CAC327709 CJY327704:CJY327709 CTU327704:CTU327709 DDQ327704:DDQ327709 DNM327704:DNM327709 DXI327704:DXI327709 EHE327704:EHE327709 ERA327704:ERA327709 FAW327704:FAW327709 FKS327704:FKS327709 FUO327704:FUO327709 GEK327704:GEK327709 GOG327704:GOG327709 GYC327704:GYC327709 HHY327704:HHY327709 HRU327704:HRU327709 IBQ327704:IBQ327709 ILM327704:ILM327709 IVI327704:IVI327709 JFE327704:JFE327709 JPA327704:JPA327709 JYW327704:JYW327709 KIS327704:KIS327709 KSO327704:KSO327709 LCK327704:LCK327709 LMG327704:LMG327709 LWC327704:LWC327709 MFY327704:MFY327709 MPU327704:MPU327709 MZQ327704:MZQ327709 NJM327704:NJM327709 NTI327704:NTI327709 ODE327704:ODE327709 ONA327704:ONA327709 OWW327704:OWW327709 PGS327704:PGS327709 PQO327704:PQO327709 QAK327704:QAK327709 QKG327704:QKG327709 QUC327704:QUC327709 RDY327704:RDY327709 RNU327704:RNU327709 RXQ327704:RXQ327709 SHM327704:SHM327709 SRI327704:SRI327709 TBE327704:TBE327709 TLA327704:TLA327709 TUW327704:TUW327709 UES327704:UES327709 UOO327704:UOO327709 UYK327704:UYK327709 VIG327704:VIG327709 VSC327704:VSC327709 WBY327704:WBY327709 WLU327704:WLU327709 WVQ327704:WVQ327709 I393240:I393245 JE393240:JE393245 TA393240:TA393245 ACW393240:ACW393245 AMS393240:AMS393245 AWO393240:AWO393245 BGK393240:BGK393245 BQG393240:BQG393245 CAC393240:CAC393245 CJY393240:CJY393245 CTU393240:CTU393245 DDQ393240:DDQ393245 DNM393240:DNM393245 DXI393240:DXI393245 EHE393240:EHE393245 ERA393240:ERA393245 FAW393240:FAW393245 FKS393240:FKS393245 FUO393240:FUO393245 GEK393240:GEK393245 GOG393240:GOG393245 GYC393240:GYC393245 HHY393240:HHY393245 HRU393240:HRU393245 IBQ393240:IBQ393245 ILM393240:ILM393245 IVI393240:IVI393245 JFE393240:JFE393245 JPA393240:JPA393245 JYW393240:JYW393245 KIS393240:KIS393245 KSO393240:KSO393245 LCK393240:LCK393245 LMG393240:LMG393245 LWC393240:LWC393245 MFY393240:MFY393245 MPU393240:MPU393245 MZQ393240:MZQ393245 NJM393240:NJM393245 NTI393240:NTI393245 ODE393240:ODE393245 ONA393240:ONA393245 OWW393240:OWW393245 PGS393240:PGS393245 PQO393240:PQO393245 QAK393240:QAK393245 QKG393240:QKG393245 QUC393240:QUC393245 RDY393240:RDY393245 RNU393240:RNU393245 RXQ393240:RXQ393245 SHM393240:SHM393245 SRI393240:SRI393245 TBE393240:TBE393245 TLA393240:TLA393245 TUW393240:TUW393245 UES393240:UES393245 UOO393240:UOO393245 UYK393240:UYK393245 VIG393240:VIG393245 VSC393240:VSC393245 WBY393240:WBY393245 WLU393240:WLU393245 WVQ393240:WVQ393245 I458776:I458781 JE458776:JE458781 TA458776:TA458781 ACW458776:ACW458781 AMS458776:AMS458781 AWO458776:AWO458781 BGK458776:BGK458781 BQG458776:BQG458781 CAC458776:CAC458781 CJY458776:CJY458781 CTU458776:CTU458781 DDQ458776:DDQ458781 DNM458776:DNM458781 DXI458776:DXI458781 EHE458776:EHE458781 ERA458776:ERA458781 FAW458776:FAW458781 FKS458776:FKS458781 FUO458776:FUO458781 GEK458776:GEK458781 GOG458776:GOG458781 GYC458776:GYC458781 HHY458776:HHY458781 HRU458776:HRU458781 IBQ458776:IBQ458781 ILM458776:ILM458781 IVI458776:IVI458781 JFE458776:JFE458781 JPA458776:JPA458781 JYW458776:JYW458781 KIS458776:KIS458781 KSO458776:KSO458781 LCK458776:LCK458781 LMG458776:LMG458781 LWC458776:LWC458781 MFY458776:MFY458781 MPU458776:MPU458781 MZQ458776:MZQ458781 NJM458776:NJM458781 NTI458776:NTI458781 ODE458776:ODE458781 ONA458776:ONA458781 OWW458776:OWW458781 PGS458776:PGS458781 PQO458776:PQO458781 QAK458776:QAK458781 QKG458776:QKG458781 QUC458776:QUC458781 RDY458776:RDY458781 RNU458776:RNU458781 RXQ458776:RXQ458781 SHM458776:SHM458781 SRI458776:SRI458781 TBE458776:TBE458781 TLA458776:TLA458781 TUW458776:TUW458781 UES458776:UES458781 UOO458776:UOO458781 UYK458776:UYK458781 VIG458776:VIG458781 VSC458776:VSC458781 WBY458776:WBY458781 WLU458776:WLU458781 WVQ458776:WVQ458781 I524312:I524317 JE524312:JE524317 TA524312:TA524317 ACW524312:ACW524317 AMS524312:AMS524317 AWO524312:AWO524317 BGK524312:BGK524317 BQG524312:BQG524317 CAC524312:CAC524317 CJY524312:CJY524317 CTU524312:CTU524317 DDQ524312:DDQ524317 DNM524312:DNM524317 DXI524312:DXI524317 EHE524312:EHE524317 ERA524312:ERA524317 FAW524312:FAW524317 FKS524312:FKS524317 FUO524312:FUO524317 GEK524312:GEK524317 GOG524312:GOG524317 GYC524312:GYC524317 HHY524312:HHY524317 HRU524312:HRU524317 IBQ524312:IBQ524317 ILM524312:ILM524317 IVI524312:IVI524317 JFE524312:JFE524317 JPA524312:JPA524317 JYW524312:JYW524317 KIS524312:KIS524317 KSO524312:KSO524317 LCK524312:LCK524317 LMG524312:LMG524317 LWC524312:LWC524317 MFY524312:MFY524317 MPU524312:MPU524317 MZQ524312:MZQ524317 NJM524312:NJM524317 NTI524312:NTI524317 ODE524312:ODE524317 ONA524312:ONA524317 OWW524312:OWW524317 PGS524312:PGS524317 PQO524312:PQO524317 QAK524312:QAK524317 QKG524312:QKG524317 QUC524312:QUC524317 RDY524312:RDY524317 RNU524312:RNU524317 RXQ524312:RXQ524317 SHM524312:SHM524317 SRI524312:SRI524317 TBE524312:TBE524317 TLA524312:TLA524317 TUW524312:TUW524317 UES524312:UES524317 UOO524312:UOO524317 UYK524312:UYK524317 VIG524312:VIG524317 VSC524312:VSC524317 WBY524312:WBY524317 WLU524312:WLU524317 WVQ524312:WVQ524317 I589848:I589853 JE589848:JE589853 TA589848:TA589853 ACW589848:ACW589853 AMS589848:AMS589853 AWO589848:AWO589853 BGK589848:BGK589853 BQG589848:BQG589853 CAC589848:CAC589853 CJY589848:CJY589853 CTU589848:CTU589853 DDQ589848:DDQ589853 DNM589848:DNM589853 DXI589848:DXI589853 EHE589848:EHE589853 ERA589848:ERA589853 FAW589848:FAW589853 FKS589848:FKS589853 FUO589848:FUO589853 GEK589848:GEK589853 GOG589848:GOG589853 GYC589848:GYC589853 HHY589848:HHY589853 HRU589848:HRU589853 IBQ589848:IBQ589853 ILM589848:ILM589853 IVI589848:IVI589853 JFE589848:JFE589853 JPA589848:JPA589853 JYW589848:JYW589853 KIS589848:KIS589853 KSO589848:KSO589853 LCK589848:LCK589853 LMG589848:LMG589853 LWC589848:LWC589853 MFY589848:MFY589853 MPU589848:MPU589853 MZQ589848:MZQ589853 NJM589848:NJM589853 NTI589848:NTI589853 ODE589848:ODE589853 ONA589848:ONA589853 OWW589848:OWW589853 PGS589848:PGS589853 PQO589848:PQO589853 QAK589848:QAK589853 QKG589848:QKG589853 QUC589848:QUC589853 RDY589848:RDY589853 RNU589848:RNU589853 RXQ589848:RXQ589853 SHM589848:SHM589853 SRI589848:SRI589853 TBE589848:TBE589853 TLA589848:TLA589853 TUW589848:TUW589853 UES589848:UES589853 UOO589848:UOO589853 UYK589848:UYK589853 VIG589848:VIG589853 VSC589848:VSC589853 WBY589848:WBY589853 WLU589848:WLU589853 WVQ589848:WVQ589853 I655384:I655389 JE655384:JE655389 TA655384:TA655389 ACW655384:ACW655389 AMS655384:AMS655389 AWO655384:AWO655389 BGK655384:BGK655389 BQG655384:BQG655389 CAC655384:CAC655389 CJY655384:CJY655389 CTU655384:CTU655389 DDQ655384:DDQ655389 DNM655384:DNM655389 DXI655384:DXI655389 EHE655384:EHE655389 ERA655384:ERA655389 FAW655384:FAW655389 FKS655384:FKS655389 FUO655384:FUO655389 GEK655384:GEK655389 GOG655384:GOG655389 GYC655384:GYC655389 HHY655384:HHY655389 HRU655384:HRU655389 IBQ655384:IBQ655389 ILM655384:ILM655389 IVI655384:IVI655389 JFE655384:JFE655389 JPA655384:JPA655389 JYW655384:JYW655389 KIS655384:KIS655389 KSO655384:KSO655389 LCK655384:LCK655389 LMG655384:LMG655389 LWC655384:LWC655389 MFY655384:MFY655389 MPU655384:MPU655389 MZQ655384:MZQ655389 NJM655384:NJM655389 NTI655384:NTI655389 ODE655384:ODE655389 ONA655384:ONA655389 OWW655384:OWW655389 PGS655384:PGS655389 PQO655384:PQO655389 QAK655384:QAK655389 QKG655384:QKG655389 QUC655384:QUC655389 RDY655384:RDY655389 RNU655384:RNU655389 RXQ655384:RXQ655389 SHM655384:SHM655389 SRI655384:SRI655389 TBE655384:TBE655389 TLA655384:TLA655389 TUW655384:TUW655389 UES655384:UES655389 UOO655384:UOO655389 UYK655384:UYK655389 VIG655384:VIG655389 VSC655384:VSC655389 WBY655384:WBY655389 WLU655384:WLU655389 WVQ655384:WVQ655389 I720920:I720925 JE720920:JE720925 TA720920:TA720925 ACW720920:ACW720925 AMS720920:AMS720925 AWO720920:AWO720925 BGK720920:BGK720925 BQG720920:BQG720925 CAC720920:CAC720925 CJY720920:CJY720925 CTU720920:CTU720925 DDQ720920:DDQ720925 DNM720920:DNM720925 DXI720920:DXI720925 EHE720920:EHE720925 ERA720920:ERA720925 FAW720920:FAW720925 FKS720920:FKS720925 FUO720920:FUO720925 GEK720920:GEK720925 GOG720920:GOG720925 GYC720920:GYC720925 HHY720920:HHY720925 HRU720920:HRU720925 IBQ720920:IBQ720925 ILM720920:ILM720925 IVI720920:IVI720925 JFE720920:JFE720925 JPA720920:JPA720925 JYW720920:JYW720925 KIS720920:KIS720925 KSO720920:KSO720925 LCK720920:LCK720925 LMG720920:LMG720925 LWC720920:LWC720925 MFY720920:MFY720925 MPU720920:MPU720925 MZQ720920:MZQ720925 NJM720920:NJM720925 NTI720920:NTI720925 ODE720920:ODE720925 ONA720920:ONA720925 OWW720920:OWW720925 PGS720920:PGS720925 PQO720920:PQO720925 QAK720920:QAK720925 QKG720920:QKG720925 QUC720920:QUC720925 RDY720920:RDY720925 RNU720920:RNU720925 RXQ720920:RXQ720925 SHM720920:SHM720925 SRI720920:SRI720925 TBE720920:TBE720925 TLA720920:TLA720925 TUW720920:TUW720925 UES720920:UES720925 UOO720920:UOO720925 UYK720920:UYK720925 VIG720920:VIG720925 VSC720920:VSC720925 WBY720920:WBY720925 WLU720920:WLU720925 WVQ720920:WVQ720925 I786456:I786461 JE786456:JE786461 TA786456:TA786461 ACW786456:ACW786461 AMS786456:AMS786461 AWO786456:AWO786461 BGK786456:BGK786461 BQG786456:BQG786461 CAC786456:CAC786461 CJY786456:CJY786461 CTU786456:CTU786461 DDQ786456:DDQ786461 DNM786456:DNM786461 DXI786456:DXI786461 EHE786456:EHE786461 ERA786456:ERA786461 FAW786456:FAW786461 FKS786456:FKS786461 FUO786456:FUO786461 GEK786456:GEK786461 GOG786456:GOG786461 GYC786456:GYC786461 HHY786456:HHY786461 HRU786456:HRU786461 IBQ786456:IBQ786461 ILM786456:ILM786461 IVI786456:IVI786461 JFE786456:JFE786461 JPA786456:JPA786461 JYW786456:JYW786461 KIS786456:KIS786461 KSO786456:KSO786461 LCK786456:LCK786461 LMG786456:LMG786461 LWC786456:LWC786461 MFY786456:MFY786461 MPU786456:MPU786461 MZQ786456:MZQ786461 NJM786456:NJM786461 NTI786456:NTI786461 ODE786456:ODE786461 ONA786456:ONA786461 OWW786456:OWW786461 PGS786456:PGS786461 PQO786456:PQO786461 QAK786456:QAK786461 QKG786456:QKG786461 QUC786456:QUC786461 RDY786456:RDY786461 RNU786456:RNU786461 RXQ786456:RXQ786461 SHM786456:SHM786461 SRI786456:SRI786461 TBE786456:TBE786461 TLA786456:TLA786461 TUW786456:TUW786461 UES786456:UES786461 UOO786456:UOO786461 UYK786456:UYK786461 VIG786456:VIG786461 VSC786456:VSC786461 WBY786456:WBY786461 WLU786456:WLU786461 WVQ786456:WVQ786461 I851992:I851997 JE851992:JE851997 TA851992:TA851997 ACW851992:ACW851997 AMS851992:AMS851997 AWO851992:AWO851997 BGK851992:BGK851997 BQG851992:BQG851997 CAC851992:CAC851997 CJY851992:CJY851997 CTU851992:CTU851997 DDQ851992:DDQ851997 DNM851992:DNM851997 DXI851992:DXI851997 EHE851992:EHE851997 ERA851992:ERA851997 FAW851992:FAW851997 FKS851992:FKS851997 FUO851992:FUO851997 GEK851992:GEK851997 GOG851992:GOG851997 GYC851992:GYC851997 HHY851992:HHY851997 HRU851992:HRU851997 IBQ851992:IBQ851997 ILM851992:ILM851997 IVI851992:IVI851997 JFE851992:JFE851997 JPA851992:JPA851997 JYW851992:JYW851997 KIS851992:KIS851997 KSO851992:KSO851997 LCK851992:LCK851997 LMG851992:LMG851997 LWC851992:LWC851997 MFY851992:MFY851997 MPU851992:MPU851997 MZQ851992:MZQ851997 NJM851992:NJM851997 NTI851992:NTI851997 ODE851992:ODE851997 ONA851992:ONA851997 OWW851992:OWW851997 PGS851992:PGS851997 PQO851992:PQO851997 QAK851992:QAK851997 QKG851992:QKG851997 QUC851992:QUC851997 RDY851992:RDY851997 RNU851992:RNU851997 RXQ851992:RXQ851997 SHM851992:SHM851997 SRI851992:SRI851997 TBE851992:TBE851997 TLA851992:TLA851997 TUW851992:TUW851997 UES851992:UES851997 UOO851992:UOO851997 UYK851992:UYK851997 VIG851992:VIG851997 VSC851992:VSC851997 WBY851992:WBY851997 WLU851992:WLU851997 WVQ851992:WVQ851997 I917528:I917533 JE917528:JE917533 TA917528:TA917533 ACW917528:ACW917533 AMS917528:AMS917533 AWO917528:AWO917533 BGK917528:BGK917533 BQG917528:BQG917533 CAC917528:CAC917533 CJY917528:CJY917533 CTU917528:CTU917533 DDQ917528:DDQ917533 DNM917528:DNM917533 DXI917528:DXI917533 EHE917528:EHE917533 ERA917528:ERA917533 FAW917528:FAW917533 FKS917528:FKS917533 FUO917528:FUO917533 GEK917528:GEK917533 GOG917528:GOG917533 GYC917528:GYC917533 HHY917528:HHY917533 HRU917528:HRU917533 IBQ917528:IBQ917533 ILM917528:ILM917533 IVI917528:IVI917533 JFE917528:JFE917533 JPA917528:JPA917533 JYW917528:JYW917533 KIS917528:KIS917533 KSO917528:KSO917533 LCK917528:LCK917533 LMG917528:LMG917533 LWC917528:LWC917533 MFY917528:MFY917533 MPU917528:MPU917533 MZQ917528:MZQ917533 NJM917528:NJM917533 NTI917528:NTI917533 ODE917528:ODE917533 ONA917528:ONA917533 OWW917528:OWW917533 PGS917528:PGS917533 PQO917528:PQO917533 QAK917528:QAK917533 QKG917528:QKG917533 QUC917528:QUC917533 RDY917528:RDY917533 RNU917528:RNU917533 RXQ917528:RXQ917533 SHM917528:SHM917533 SRI917528:SRI917533 TBE917528:TBE917533 TLA917528:TLA917533 TUW917528:TUW917533 UES917528:UES917533 UOO917528:UOO917533 UYK917528:UYK917533 VIG917528:VIG917533 VSC917528:VSC917533 WBY917528:WBY917533 WLU917528:WLU917533 WVQ917528:WVQ917533 I983064:I983069 JE983064:JE983069 TA983064:TA983069 ACW983064:ACW983069 AMS983064:AMS983069 AWO983064:AWO983069 BGK983064:BGK983069 BQG983064:BQG983069 CAC983064:CAC983069 CJY983064:CJY983069 CTU983064:CTU983069 DDQ983064:DDQ983069 DNM983064:DNM983069 DXI983064:DXI983069 EHE983064:EHE983069 ERA983064:ERA983069 FAW983064:FAW983069 FKS983064:FKS983069 FUO983064:FUO983069 GEK983064:GEK983069 GOG983064:GOG983069 GYC983064:GYC983069 HHY983064:HHY983069 HRU983064:HRU983069 IBQ983064:IBQ983069 ILM983064:ILM983069 IVI983064:IVI983069 JFE983064:JFE983069 JPA983064:JPA983069 JYW983064:JYW983069 KIS983064:KIS983069 KSO983064:KSO983069 LCK983064:LCK983069 LMG983064:LMG983069 LWC983064:LWC983069 MFY983064:MFY983069 MPU983064:MPU983069 MZQ983064:MZQ983069 NJM983064:NJM983069 NTI983064:NTI983069 ODE983064:ODE983069 ONA983064:ONA983069 OWW983064:OWW983069 PGS983064:PGS983069 PQO983064:PQO983069 QAK983064:QAK983069 QKG983064:QKG983069 QUC983064:QUC983069 RDY983064:RDY983069 RNU983064:RNU983069 RXQ983064:RXQ983069 SHM983064:SHM983069 SRI983064:SRI983069 TBE983064:TBE983069 TLA983064:TLA983069 TUW983064:TUW983069 UES983064:UES983069 UOO983064:UOO983069 UYK983064:UYK983069 VIG983064:VIG983069 VSC983064:VSC983069 WBY983064:WBY983069 WLU983064:WLU983069 WVQ983064:WVQ983069 F24:F29 JB24:JB29 SX24:SX29 ACT24:ACT29 AMP24:AMP29 AWL24:AWL29 BGH24:BGH29 BQD24:BQD29 BZZ24:BZZ29 CJV24:CJV29 CTR24:CTR29 DDN24:DDN29 DNJ24:DNJ29 DXF24:DXF29 EHB24:EHB29 EQX24:EQX29 FAT24:FAT29 FKP24:FKP29 FUL24:FUL29 GEH24:GEH29 GOD24:GOD29 GXZ24:GXZ29 HHV24:HHV29 HRR24:HRR29 IBN24:IBN29 ILJ24:ILJ29 IVF24:IVF29 JFB24:JFB29 JOX24:JOX29 JYT24:JYT29 KIP24:KIP29 KSL24:KSL29 LCH24:LCH29 LMD24:LMD29 LVZ24:LVZ29 MFV24:MFV29 MPR24:MPR29 MZN24:MZN29 NJJ24:NJJ29 NTF24:NTF29 ODB24:ODB29 OMX24:OMX29 OWT24:OWT29 PGP24:PGP29 PQL24:PQL29 QAH24:QAH29 QKD24:QKD29 QTZ24:QTZ29 RDV24:RDV29 RNR24:RNR29 RXN24:RXN29 SHJ24:SHJ29 SRF24:SRF29 TBB24:TBB29 TKX24:TKX29 TUT24:TUT29 UEP24:UEP29 UOL24:UOL29 UYH24:UYH29 VID24:VID29 VRZ24:VRZ29 WBV24:WBV29 WLR24:WLR29 WVN24:WVN29 F65560:F65565 JB65560:JB65565 SX65560:SX65565 ACT65560:ACT65565 AMP65560:AMP65565 AWL65560:AWL65565 BGH65560:BGH65565 BQD65560:BQD65565 BZZ65560:BZZ65565 CJV65560:CJV65565 CTR65560:CTR65565 DDN65560:DDN65565 DNJ65560:DNJ65565 DXF65560:DXF65565 EHB65560:EHB65565 EQX65560:EQX65565 FAT65560:FAT65565 FKP65560:FKP65565 FUL65560:FUL65565 GEH65560:GEH65565 GOD65560:GOD65565 GXZ65560:GXZ65565 HHV65560:HHV65565 HRR65560:HRR65565 IBN65560:IBN65565 ILJ65560:ILJ65565 IVF65560:IVF65565 JFB65560:JFB65565 JOX65560:JOX65565 JYT65560:JYT65565 KIP65560:KIP65565 KSL65560:KSL65565 LCH65560:LCH65565 LMD65560:LMD65565 LVZ65560:LVZ65565 MFV65560:MFV65565 MPR65560:MPR65565 MZN65560:MZN65565 NJJ65560:NJJ65565 NTF65560:NTF65565 ODB65560:ODB65565 OMX65560:OMX65565 OWT65560:OWT65565 PGP65560:PGP65565 PQL65560:PQL65565 QAH65560:QAH65565 QKD65560:QKD65565 QTZ65560:QTZ65565 RDV65560:RDV65565 RNR65560:RNR65565 RXN65560:RXN65565 SHJ65560:SHJ65565 SRF65560:SRF65565 TBB65560:TBB65565 TKX65560:TKX65565 TUT65560:TUT65565 UEP65560:UEP65565 UOL65560:UOL65565 UYH65560:UYH65565 VID65560:VID65565 VRZ65560:VRZ65565 WBV65560:WBV65565 WLR65560:WLR65565 WVN65560:WVN65565 F131096:F131101 JB131096:JB131101 SX131096:SX131101 ACT131096:ACT131101 AMP131096:AMP131101 AWL131096:AWL131101 BGH131096:BGH131101 BQD131096:BQD131101 BZZ131096:BZZ131101 CJV131096:CJV131101 CTR131096:CTR131101 DDN131096:DDN131101 DNJ131096:DNJ131101 DXF131096:DXF131101 EHB131096:EHB131101 EQX131096:EQX131101 FAT131096:FAT131101 FKP131096:FKP131101 FUL131096:FUL131101 GEH131096:GEH131101 GOD131096:GOD131101 GXZ131096:GXZ131101 HHV131096:HHV131101 HRR131096:HRR131101 IBN131096:IBN131101 ILJ131096:ILJ131101 IVF131096:IVF131101 JFB131096:JFB131101 JOX131096:JOX131101 JYT131096:JYT131101 KIP131096:KIP131101 KSL131096:KSL131101 LCH131096:LCH131101 LMD131096:LMD131101 LVZ131096:LVZ131101 MFV131096:MFV131101 MPR131096:MPR131101 MZN131096:MZN131101 NJJ131096:NJJ131101 NTF131096:NTF131101 ODB131096:ODB131101 OMX131096:OMX131101 OWT131096:OWT131101 PGP131096:PGP131101 PQL131096:PQL131101 QAH131096:QAH131101 QKD131096:QKD131101 QTZ131096:QTZ131101 RDV131096:RDV131101 RNR131096:RNR131101 RXN131096:RXN131101 SHJ131096:SHJ131101 SRF131096:SRF131101 TBB131096:TBB131101 TKX131096:TKX131101 TUT131096:TUT131101 UEP131096:UEP131101 UOL131096:UOL131101 UYH131096:UYH131101 VID131096:VID131101 VRZ131096:VRZ131101 WBV131096:WBV131101 WLR131096:WLR131101 WVN131096:WVN131101 F196632:F196637 JB196632:JB196637 SX196632:SX196637 ACT196632:ACT196637 AMP196632:AMP196637 AWL196632:AWL196637 BGH196632:BGH196637 BQD196632:BQD196637 BZZ196632:BZZ196637 CJV196632:CJV196637 CTR196632:CTR196637 DDN196632:DDN196637 DNJ196632:DNJ196637 DXF196632:DXF196637 EHB196632:EHB196637 EQX196632:EQX196637 FAT196632:FAT196637 FKP196632:FKP196637 FUL196632:FUL196637 GEH196632:GEH196637 GOD196632:GOD196637 GXZ196632:GXZ196637 HHV196632:HHV196637 HRR196632:HRR196637 IBN196632:IBN196637 ILJ196632:ILJ196637 IVF196632:IVF196637 JFB196632:JFB196637 JOX196632:JOX196637 JYT196632:JYT196637 KIP196632:KIP196637 KSL196632:KSL196637 LCH196632:LCH196637 LMD196632:LMD196637 LVZ196632:LVZ196637 MFV196632:MFV196637 MPR196632:MPR196637 MZN196632:MZN196637 NJJ196632:NJJ196637 NTF196632:NTF196637 ODB196632:ODB196637 OMX196632:OMX196637 OWT196632:OWT196637 PGP196632:PGP196637 PQL196632:PQL196637 QAH196632:QAH196637 QKD196632:QKD196637 QTZ196632:QTZ196637 RDV196632:RDV196637 RNR196632:RNR196637 RXN196632:RXN196637 SHJ196632:SHJ196637 SRF196632:SRF196637 TBB196632:TBB196637 TKX196632:TKX196637 TUT196632:TUT196637 UEP196632:UEP196637 UOL196632:UOL196637 UYH196632:UYH196637 VID196632:VID196637 VRZ196632:VRZ196637 WBV196632:WBV196637 WLR196632:WLR196637 WVN196632:WVN196637 F262168:F262173 JB262168:JB262173 SX262168:SX262173 ACT262168:ACT262173 AMP262168:AMP262173 AWL262168:AWL262173 BGH262168:BGH262173 BQD262168:BQD262173 BZZ262168:BZZ262173 CJV262168:CJV262173 CTR262168:CTR262173 DDN262168:DDN262173 DNJ262168:DNJ262173 DXF262168:DXF262173 EHB262168:EHB262173 EQX262168:EQX262173 FAT262168:FAT262173 FKP262168:FKP262173 FUL262168:FUL262173 GEH262168:GEH262173 GOD262168:GOD262173 GXZ262168:GXZ262173 HHV262168:HHV262173 HRR262168:HRR262173 IBN262168:IBN262173 ILJ262168:ILJ262173 IVF262168:IVF262173 JFB262168:JFB262173 JOX262168:JOX262173 JYT262168:JYT262173 KIP262168:KIP262173 KSL262168:KSL262173 LCH262168:LCH262173 LMD262168:LMD262173 LVZ262168:LVZ262173 MFV262168:MFV262173 MPR262168:MPR262173 MZN262168:MZN262173 NJJ262168:NJJ262173 NTF262168:NTF262173 ODB262168:ODB262173 OMX262168:OMX262173 OWT262168:OWT262173 PGP262168:PGP262173 PQL262168:PQL262173 QAH262168:QAH262173 QKD262168:QKD262173 QTZ262168:QTZ262173 RDV262168:RDV262173 RNR262168:RNR262173 RXN262168:RXN262173 SHJ262168:SHJ262173 SRF262168:SRF262173 TBB262168:TBB262173 TKX262168:TKX262173 TUT262168:TUT262173 UEP262168:UEP262173 UOL262168:UOL262173 UYH262168:UYH262173 VID262168:VID262173 VRZ262168:VRZ262173 WBV262168:WBV262173 WLR262168:WLR262173 WVN262168:WVN262173 F327704:F327709 JB327704:JB327709 SX327704:SX327709 ACT327704:ACT327709 AMP327704:AMP327709 AWL327704:AWL327709 BGH327704:BGH327709 BQD327704:BQD327709 BZZ327704:BZZ327709 CJV327704:CJV327709 CTR327704:CTR327709 DDN327704:DDN327709 DNJ327704:DNJ327709 DXF327704:DXF327709 EHB327704:EHB327709 EQX327704:EQX327709 FAT327704:FAT327709 FKP327704:FKP327709 FUL327704:FUL327709 GEH327704:GEH327709 GOD327704:GOD327709 GXZ327704:GXZ327709 HHV327704:HHV327709 HRR327704:HRR327709 IBN327704:IBN327709 ILJ327704:ILJ327709 IVF327704:IVF327709 JFB327704:JFB327709 JOX327704:JOX327709 JYT327704:JYT327709 KIP327704:KIP327709 KSL327704:KSL327709 LCH327704:LCH327709 LMD327704:LMD327709 LVZ327704:LVZ327709 MFV327704:MFV327709 MPR327704:MPR327709 MZN327704:MZN327709 NJJ327704:NJJ327709 NTF327704:NTF327709 ODB327704:ODB327709 OMX327704:OMX327709 OWT327704:OWT327709 PGP327704:PGP327709 PQL327704:PQL327709 QAH327704:QAH327709 QKD327704:QKD327709 QTZ327704:QTZ327709 RDV327704:RDV327709 RNR327704:RNR327709 RXN327704:RXN327709 SHJ327704:SHJ327709 SRF327704:SRF327709 TBB327704:TBB327709 TKX327704:TKX327709 TUT327704:TUT327709 UEP327704:UEP327709 UOL327704:UOL327709 UYH327704:UYH327709 VID327704:VID327709 VRZ327704:VRZ327709 WBV327704:WBV327709 WLR327704:WLR327709 WVN327704:WVN327709 F393240:F393245 JB393240:JB393245 SX393240:SX393245 ACT393240:ACT393245 AMP393240:AMP393245 AWL393240:AWL393245 BGH393240:BGH393245 BQD393240:BQD393245 BZZ393240:BZZ393245 CJV393240:CJV393245 CTR393240:CTR393245 DDN393240:DDN393245 DNJ393240:DNJ393245 DXF393240:DXF393245 EHB393240:EHB393245 EQX393240:EQX393245 FAT393240:FAT393245 FKP393240:FKP393245 FUL393240:FUL393245 GEH393240:GEH393245 GOD393240:GOD393245 GXZ393240:GXZ393245 HHV393240:HHV393245 HRR393240:HRR393245 IBN393240:IBN393245 ILJ393240:ILJ393245 IVF393240:IVF393245 JFB393240:JFB393245 JOX393240:JOX393245 JYT393240:JYT393245 KIP393240:KIP393245 KSL393240:KSL393245 LCH393240:LCH393245 LMD393240:LMD393245 LVZ393240:LVZ393245 MFV393240:MFV393245 MPR393240:MPR393245 MZN393240:MZN393245 NJJ393240:NJJ393245 NTF393240:NTF393245 ODB393240:ODB393245 OMX393240:OMX393245 OWT393240:OWT393245 PGP393240:PGP393245 PQL393240:PQL393245 QAH393240:QAH393245 QKD393240:QKD393245 QTZ393240:QTZ393245 RDV393240:RDV393245 RNR393240:RNR393245 RXN393240:RXN393245 SHJ393240:SHJ393245 SRF393240:SRF393245 TBB393240:TBB393245 TKX393240:TKX393245 TUT393240:TUT393245 UEP393240:UEP393245 UOL393240:UOL393245 UYH393240:UYH393245 VID393240:VID393245 VRZ393240:VRZ393245 WBV393240:WBV393245 WLR393240:WLR393245 WVN393240:WVN393245 F458776:F458781 JB458776:JB458781 SX458776:SX458781 ACT458776:ACT458781 AMP458776:AMP458781 AWL458776:AWL458781 BGH458776:BGH458781 BQD458776:BQD458781 BZZ458776:BZZ458781 CJV458776:CJV458781 CTR458776:CTR458781 DDN458776:DDN458781 DNJ458776:DNJ458781 DXF458776:DXF458781 EHB458776:EHB458781 EQX458776:EQX458781 FAT458776:FAT458781 FKP458776:FKP458781 FUL458776:FUL458781 GEH458776:GEH458781 GOD458776:GOD458781 GXZ458776:GXZ458781 HHV458776:HHV458781 HRR458776:HRR458781 IBN458776:IBN458781 ILJ458776:ILJ458781 IVF458776:IVF458781 JFB458776:JFB458781 JOX458776:JOX458781 JYT458776:JYT458781 KIP458776:KIP458781 KSL458776:KSL458781 LCH458776:LCH458781 LMD458776:LMD458781 LVZ458776:LVZ458781 MFV458776:MFV458781 MPR458776:MPR458781 MZN458776:MZN458781 NJJ458776:NJJ458781 NTF458776:NTF458781 ODB458776:ODB458781 OMX458776:OMX458781 OWT458776:OWT458781 PGP458776:PGP458781 PQL458776:PQL458781 QAH458776:QAH458781 QKD458776:QKD458781 QTZ458776:QTZ458781 RDV458776:RDV458781 RNR458776:RNR458781 RXN458776:RXN458781 SHJ458776:SHJ458781 SRF458776:SRF458781 TBB458776:TBB458781 TKX458776:TKX458781 TUT458776:TUT458781 UEP458776:UEP458781 UOL458776:UOL458781 UYH458776:UYH458781 VID458776:VID458781 VRZ458776:VRZ458781 WBV458776:WBV458781 WLR458776:WLR458781 WVN458776:WVN458781 F524312:F524317 JB524312:JB524317 SX524312:SX524317 ACT524312:ACT524317 AMP524312:AMP524317 AWL524312:AWL524317 BGH524312:BGH524317 BQD524312:BQD524317 BZZ524312:BZZ524317 CJV524312:CJV524317 CTR524312:CTR524317 DDN524312:DDN524317 DNJ524312:DNJ524317 DXF524312:DXF524317 EHB524312:EHB524317 EQX524312:EQX524317 FAT524312:FAT524317 FKP524312:FKP524317 FUL524312:FUL524317 GEH524312:GEH524317 GOD524312:GOD524317 GXZ524312:GXZ524317 HHV524312:HHV524317 HRR524312:HRR524317 IBN524312:IBN524317 ILJ524312:ILJ524317 IVF524312:IVF524317 JFB524312:JFB524317 JOX524312:JOX524317 JYT524312:JYT524317 KIP524312:KIP524317 KSL524312:KSL524317 LCH524312:LCH524317 LMD524312:LMD524317 LVZ524312:LVZ524317 MFV524312:MFV524317 MPR524312:MPR524317 MZN524312:MZN524317 NJJ524312:NJJ524317 NTF524312:NTF524317 ODB524312:ODB524317 OMX524312:OMX524317 OWT524312:OWT524317 PGP524312:PGP524317 PQL524312:PQL524317 QAH524312:QAH524317 QKD524312:QKD524317 QTZ524312:QTZ524317 RDV524312:RDV524317 RNR524312:RNR524317 RXN524312:RXN524317 SHJ524312:SHJ524317 SRF524312:SRF524317 TBB524312:TBB524317 TKX524312:TKX524317 TUT524312:TUT524317 UEP524312:UEP524317 UOL524312:UOL524317 UYH524312:UYH524317 VID524312:VID524317 VRZ524312:VRZ524317 WBV524312:WBV524317 WLR524312:WLR524317 WVN524312:WVN524317 F589848:F589853 JB589848:JB589853 SX589848:SX589853 ACT589848:ACT589853 AMP589848:AMP589853 AWL589848:AWL589853 BGH589848:BGH589853 BQD589848:BQD589853 BZZ589848:BZZ589853 CJV589848:CJV589853 CTR589848:CTR589853 DDN589848:DDN589853 DNJ589848:DNJ589853 DXF589848:DXF589853 EHB589848:EHB589853 EQX589848:EQX589853 FAT589848:FAT589853 FKP589848:FKP589853 FUL589848:FUL589853 GEH589848:GEH589853 GOD589848:GOD589853 GXZ589848:GXZ589853 HHV589848:HHV589853 HRR589848:HRR589853 IBN589848:IBN589853 ILJ589848:ILJ589853 IVF589848:IVF589853 JFB589848:JFB589853 JOX589848:JOX589853 JYT589848:JYT589853 KIP589848:KIP589853 KSL589848:KSL589853 LCH589848:LCH589853 LMD589848:LMD589853 LVZ589848:LVZ589853 MFV589848:MFV589853 MPR589848:MPR589853 MZN589848:MZN589853 NJJ589848:NJJ589853 NTF589848:NTF589853 ODB589848:ODB589853 OMX589848:OMX589853 OWT589848:OWT589853 PGP589848:PGP589853 PQL589848:PQL589853 QAH589848:QAH589853 QKD589848:QKD589853 QTZ589848:QTZ589853 RDV589848:RDV589853 RNR589848:RNR589853 RXN589848:RXN589853 SHJ589848:SHJ589853 SRF589848:SRF589853 TBB589848:TBB589853 TKX589848:TKX589853 TUT589848:TUT589853 UEP589848:UEP589853 UOL589848:UOL589853 UYH589848:UYH589853 VID589848:VID589853 VRZ589848:VRZ589853 WBV589848:WBV589853 WLR589848:WLR589853 WVN589848:WVN589853 F655384:F655389 JB655384:JB655389 SX655384:SX655389 ACT655384:ACT655389 AMP655384:AMP655389 AWL655384:AWL655389 BGH655384:BGH655389 BQD655384:BQD655389 BZZ655384:BZZ655389 CJV655384:CJV655389 CTR655384:CTR655389 DDN655384:DDN655389 DNJ655384:DNJ655389 DXF655384:DXF655389 EHB655384:EHB655389 EQX655384:EQX655389 FAT655384:FAT655389 FKP655384:FKP655389 FUL655384:FUL655389 GEH655384:GEH655389 GOD655384:GOD655389 GXZ655384:GXZ655389 HHV655384:HHV655389 HRR655384:HRR655389 IBN655384:IBN655389 ILJ655384:ILJ655389 IVF655384:IVF655389 JFB655384:JFB655389 JOX655384:JOX655389 JYT655384:JYT655389 KIP655384:KIP655389 KSL655384:KSL655389 LCH655384:LCH655389 LMD655384:LMD655389 LVZ655384:LVZ655389 MFV655384:MFV655389 MPR655384:MPR655389 MZN655384:MZN655389 NJJ655384:NJJ655389 NTF655384:NTF655389 ODB655384:ODB655389 OMX655384:OMX655389 OWT655384:OWT655389 PGP655384:PGP655389 PQL655384:PQL655389 QAH655384:QAH655389 QKD655384:QKD655389 QTZ655384:QTZ655389 RDV655384:RDV655389 RNR655384:RNR655389 RXN655384:RXN655389 SHJ655384:SHJ655389 SRF655384:SRF655389 TBB655384:TBB655389 TKX655384:TKX655389 TUT655384:TUT655389 UEP655384:UEP655389 UOL655384:UOL655389 UYH655384:UYH655389 VID655384:VID655389 VRZ655384:VRZ655389 WBV655384:WBV655389 WLR655384:WLR655389 WVN655384:WVN655389 F720920:F720925 JB720920:JB720925 SX720920:SX720925 ACT720920:ACT720925 AMP720920:AMP720925 AWL720920:AWL720925 BGH720920:BGH720925 BQD720920:BQD720925 BZZ720920:BZZ720925 CJV720920:CJV720925 CTR720920:CTR720925 DDN720920:DDN720925 DNJ720920:DNJ720925 DXF720920:DXF720925 EHB720920:EHB720925 EQX720920:EQX720925 FAT720920:FAT720925 FKP720920:FKP720925 FUL720920:FUL720925 GEH720920:GEH720925 GOD720920:GOD720925 GXZ720920:GXZ720925 HHV720920:HHV720925 HRR720920:HRR720925 IBN720920:IBN720925 ILJ720920:ILJ720925 IVF720920:IVF720925 JFB720920:JFB720925 JOX720920:JOX720925 JYT720920:JYT720925 KIP720920:KIP720925 KSL720920:KSL720925 LCH720920:LCH720925 LMD720920:LMD720925 LVZ720920:LVZ720925 MFV720920:MFV720925 MPR720920:MPR720925 MZN720920:MZN720925 NJJ720920:NJJ720925 NTF720920:NTF720925 ODB720920:ODB720925 OMX720920:OMX720925 OWT720920:OWT720925 PGP720920:PGP720925 PQL720920:PQL720925 QAH720920:QAH720925 QKD720920:QKD720925 QTZ720920:QTZ720925 RDV720920:RDV720925 RNR720920:RNR720925 RXN720920:RXN720925 SHJ720920:SHJ720925 SRF720920:SRF720925 TBB720920:TBB720925 TKX720920:TKX720925 TUT720920:TUT720925 UEP720920:UEP720925 UOL720920:UOL720925 UYH720920:UYH720925 VID720920:VID720925 VRZ720920:VRZ720925 WBV720920:WBV720925 WLR720920:WLR720925 WVN720920:WVN720925 F786456:F786461 JB786456:JB786461 SX786456:SX786461 ACT786456:ACT786461 AMP786456:AMP786461 AWL786456:AWL786461 BGH786456:BGH786461 BQD786456:BQD786461 BZZ786456:BZZ786461 CJV786456:CJV786461 CTR786456:CTR786461 DDN786456:DDN786461 DNJ786456:DNJ786461 DXF786456:DXF786461 EHB786456:EHB786461 EQX786456:EQX786461 FAT786456:FAT786461 FKP786456:FKP786461 FUL786456:FUL786461 GEH786456:GEH786461 GOD786456:GOD786461 GXZ786456:GXZ786461 HHV786456:HHV786461 HRR786456:HRR786461 IBN786456:IBN786461 ILJ786456:ILJ786461 IVF786456:IVF786461 JFB786456:JFB786461 JOX786456:JOX786461 JYT786456:JYT786461 KIP786456:KIP786461 KSL786456:KSL786461 LCH786456:LCH786461 LMD786456:LMD786461 LVZ786456:LVZ786461 MFV786456:MFV786461 MPR786456:MPR786461 MZN786456:MZN786461 NJJ786456:NJJ786461 NTF786456:NTF786461 ODB786456:ODB786461 OMX786456:OMX786461 OWT786456:OWT786461 PGP786456:PGP786461 PQL786456:PQL786461 QAH786456:QAH786461 QKD786456:QKD786461 QTZ786456:QTZ786461 RDV786456:RDV786461 RNR786456:RNR786461 RXN786456:RXN786461 SHJ786456:SHJ786461 SRF786456:SRF786461 TBB786456:TBB786461 TKX786456:TKX786461 TUT786456:TUT786461 UEP786456:UEP786461 UOL786456:UOL786461 UYH786456:UYH786461 VID786456:VID786461 VRZ786456:VRZ786461 WBV786456:WBV786461 WLR786456:WLR786461 WVN786456:WVN786461 F851992:F851997 JB851992:JB851997 SX851992:SX851997 ACT851992:ACT851997 AMP851992:AMP851997 AWL851992:AWL851997 BGH851992:BGH851997 BQD851992:BQD851997 BZZ851992:BZZ851997 CJV851992:CJV851997 CTR851992:CTR851997 DDN851992:DDN851997 DNJ851992:DNJ851997 DXF851992:DXF851997 EHB851992:EHB851997 EQX851992:EQX851997 FAT851992:FAT851997 FKP851992:FKP851997 FUL851992:FUL851997 GEH851992:GEH851997 GOD851992:GOD851997 GXZ851992:GXZ851997 HHV851992:HHV851997 HRR851992:HRR851997 IBN851992:IBN851997 ILJ851992:ILJ851997 IVF851992:IVF851997 JFB851992:JFB851997 JOX851992:JOX851997 JYT851992:JYT851997 KIP851992:KIP851997 KSL851992:KSL851997 LCH851992:LCH851997 LMD851992:LMD851997 LVZ851992:LVZ851997 MFV851992:MFV851997 MPR851992:MPR851997 MZN851992:MZN851997 NJJ851992:NJJ851997 NTF851992:NTF851997 ODB851992:ODB851997 OMX851992:OMX851997 OWT851992:OWT851997 PGP851992:PGP851997 PQL851992:PQL851997 QAH851992:QAH851997 QKD851992:QKD851997 QTZ851992:QTZ851997 RDV851992:RDV851997 RNR851992:RNR851997 RXN851992:RXN851997 SHJ851992:SHJ851997 SRF851992:SRF851997 TBB851992:TBB851997 TKX851992:TKX851997 TUT851992:TUT851997 UEP851992:UEP851997 UOL851992:UOL851997 UYH851992:UYH851997 VID851992:VID851997 VRZ851992:VRZ851997 WBV851992:WBV851997 WLR851992:WLR851997 WVN851992:WVN851997 F917528:F917533 JB917528:JB917533 SX917528:SX917533 ACT917528:ACT917533 AMP917528:AMP917533 AWL917528:AWL917533 BGH917528:BGH917533 BQD917528:BQD917533 BZZ917528:BZZ917533 CJV917528:CJV917533 CTR917528:CTR917533 DDN917528:DDN917533 DNJ917528:DNJ917533 DXF917528:DXF917533 EHB917528:EHB917533 EQX917528:EQX917533 FAT917528:FAT917533 FKP917528:FKP917533 FUL917528:FUL917533 GEH917528:GEH917533 GOD917528:GOD917533 GXZ917528:GXZ917533 HHV917528:HHV917533 HRR917528:HRR917533 IBN917528:IBN917533 ILJ917528:ILJ917533 IVF917528:IVF917533 JFB917528:JFB917533 JOX917528:JOX917533 JYT917528:JYT917533 KIP917528:KIP917533 KSL917528:KSL917533 LCH917528:LCH917533 LMD917528:LMD917533 LVZ917528:LVZ917533 MFV917528:MFV917533 MPR917528:MPR917533 MZN917528:MZN917533 NJJ917528:NJJ917533 NTF917528:NTF917533 ODB917528:ODB917533 OMX917528:OMX917533 OWT917528:OWT917533 PGP917528:PGP917533 PQL917528:PQL917533 QAH917528:QAH917533 QKD917528:QKD917533 QTZ917528:QTZ917533 RDV917528:RDV917533 RNR917528:RNR917533 RXN917528:RXN917533 SHJ917528:SHJ917533 SRF917528:SRF917533 TBB917528:TBB917533 TKX917528:TKX917533 TUT917528:TUT917533 UEP917528:UEP917533 UOL917528:UOL917533 UYH917528:UYH917533 VID917528:VID917533 VRZ917528:VRZ917533 WBV917528:WBV917533 WLR917528:WLR917533 WVN917528:WVN917533 F983064:F983069 JB983064:JB983069 SX983064:SX983069 ACT983064:ACT983069 AMP983064:AMP983069 AWL983064:AWL983069 BGH983064:BGH983069 BQD983064:BQD983069 BZZ983064:BZZ983069 CJV983064:CJV983069 CTR983064:CTR983069 DDN983064:DDN983069 DNJ983064:DNJ983069 DXF983064:DXF983069 EHB983064:EHB983069 EQX983064:EQX983069 FAT983064:FAT983069 FKP983064:FKP983069 FUL983064:FUL983069 GEH983064:GEH983069 GOD983064:GOD983069 GXZ983064:GXZ983069 HHV983064:HHV983069 HRR983064:HRR983069 IBN983064:IBN983069 ILJ983064:ILJ983069 IVF983064:IVF983069 JFB983064:JFB983069 JOX983064:JOX983069 JYT983064:JYT983069 KIP983064:KIP983069 KSL983064:KSL983069 LCH983064:LCH983069 LMD983064:LMD983069 LVZ983064:LVZ983069 MFV983064:MFV983069 MPR983064:MPR983069 MZN983064:MZN983069 NJJ983064:NJJ983069 NTF983064:NTF983069 ODB983064:ODB983069 OMX983064:OMX983069 OWT983064:OWT983069 PGP983064:PGP983069 PQL983064:PQL983069 QAH983064:QAH983069 QKD983064:QKD983069 QTZ983064:QTZ983069 RDV983064:RDV983069 RNR983064:RNR983069 RXN983064:RXN983069 SHJ983064:SHJ983069 SRF983064:SRF983069 TBB983064:TBB983069 TKX983064:TKX983069 TUT983064:TUT983069 UEP983064:UEP983069 UOL983064:UOL983069 UYH983064:UYH983069 VID983064:VID983069 VRZ983064:VRZ983069 WBV983064:WBV983069 WLR983064:WLR983069 WVN983064:WVN983069 I16:I21 JE16:JE21 TA16:TA21 ACW16:ACW21 AMS16:AMS21 AWO16:AWO21 BGK16:BGK21 BQG16:BQG21 CAC16:CAC21 CJY16:CJY21 CTU16:CTU21 DDQ16:DDQ21 DNM16:DNM21 DXI16:DXI21 EHE16:EHE21 ERA16:ERA21 FAW16:FAW21 FKS16:FKS21 FUO16:FUO21 GEK16:GEK21 GOG16:GOG21 GYC16:GYC21 HHY16:HHY21 HRU16:HRU21 IBQ16:IBQ21 ILM16:ILM21 IVI16:IVI21 JFE16:JFE21 JPA16:JPA21 JYW16:JYW21 KIS16:KIS21 KSO16:KSO21 LCK16:LCK21 LMG16:LMG21 LWC16:LWC21 MFY16:MFY21 MPU16:MPU21 MZQ16:MZQ21 NJM16:NJM21 NTI16:NTI21 ODE16:ODE21 ONA16:ONA21 OWW16:OWW21 PGS16:PGS21 PQO16:PQO21 QAK16:QAK21 QKG16:QKG21 QUC16:QUC21 RDY16:RDY21 RNU16:RNU21 RXQ16:RXQ21 SHM16:SHM21 SRI16:SRI21 TBE16:TBE21 TLA16:TLA21 TUW16:TUW21 UES16:UES21 UOO16:UOO21 UYK16:UYK21 VIG16:VIG21 VSC16:VSC21 WBY16:WBY21 WLU16:WLU21 WVQ16:WVQ21 I65552:I65557 JE65552:JE65557 TA65552:TA65557 ACW65552:ACW65557 AMS65552:AMS65557 AWO65552:AWO65557 BGK65552:BGK65557 BQG65552:BQG65557 CAC65552:CAC65557 CJY65552:CJY65557 CTU65552:CTU65557 DDQ65552:DDQ65557 DNM65552:DNM65557 DXI65552:DXI65557 EHE65552:EHE65557 ERA65552:ERA65557 FAW65552:FAW65557 FKS65552:FKS65557 FUO65552:FUO65557 GEK65552:GEK65557 GOG65552:GOG65557 GYC65552:GYC65557 HHY65552:HHY65557 HRU65552:HRU65557 IBQ65552:IBQ65557 ILM65552:ILM65557 IVI65552:IVI65557 JFE65552:JFE65557 JPA65552:JPA65557 JYW65552:JYW65557 KIS65552:KIS65557 KSO65552:KSO65557 LCK65552:LCK65557 LMG65552:LMG65557 LWC65552:LWC65557 MFY65552:MFY65557 MPU65552:MPU65557 MZQ65552:MZQ65557 NJM65552:NJM65557 NTI65552:NTI65557 ODE65552:ODE65557 ONA65552:ONA65557 OWW65552:OWW65557 PGS65552:PGS65557 PQO65552:PQO65557 QAK65552:QAK65557 QKG65552:QKG65557 QUC65552:QUC65557 RDY65552:RDY65557 RNU65552:RNU65557 RXQ65552:RXQ65557 SHM65552:SHM65557 SRI65552:SRI65557 TBE65552:TBE65557 TLA65552:TLA65557 TUW65552:TUW65557 UES65552:UES65557 UOO65552:UOO65557 UYK65552:UYK65557 VIG65552:VIG65557 VSC65552:VSC65557 WBY65552:WBY65557 WLU65552:WLU65557 WVQ65552:WVQ65557 I131088:I131093 JE131088:JE131093 TA131088:TA131093 ACW131088:ACW131093 AMS131088:AMS131093 AWO131088:AWO131093 BGK131088:BGK131093 BQG131088:BQG131093 CAC131088:CAC131093 CJY131088:CJY131093 CTU131088:CTU131093 DDQ131088:DDQ131093 DNM131088:DNM131093 DXI131088:DXI131093 EHE131088:EHE131093 ERA131088:ERA131093 FAW131088:FAW131093 FKS131088:FKS131093 FUO131088:FUO131093 GEK131088:GEK131093 GOG131088:GOG131093 GYC131088:GYC131093 HHY131088:HHY131093 HRU131088:HRU131093 IBQ131088:IBQ131093 ILM131088:ILM131093 IVI131088:IVI131093 JFE131088:JFE131093 JPA131088:JPA131093 JYW131088:JYW131093 KIS131088:KIS131093 KSO131088:KSO131093 LCK131088:LCK131093 LMG131088:LMG131093 LWC131088:LWC131093 MFY131088:MFY131093 MPU131088:MPU131093 MZQ131088:MZQ131093 NJM131088:NJM131093 NTI131088:NTI131093 ODE131088:ODE131093 ONA131088:ONA131093 OWW131088:OWW131093 PGS131088:PGS131093 PQO131088:PQO131093 QAK131088:QAK131093 QKG131088:QKG131093 QUC131088:QUC131093 RDY131088:RDY131093 RNU131088:RNU131093 RXQ131088:RXQ131093 SHM131088:SHM131093 SRI131088:SRI131093 TBE131088:TBE131093 TLA131088:TLA131093 TUW131088:TUW131093 UES131088:UES131093 UOO131088:UOO131093 UYK131088:UYK131093 VIG131088:VIG131093 VSC131088:VSC131093 WBY131088:WBY131093 WLU131088:WLU131093 WVQ131088:WVQ131093 I196624:I196629 JE196624:JE196629 TA196624:TA196629 ACW196624:ACW196629 AMS196624:AMS196629 AWO196624:AWO196629 BGK196624:BGK196629 BQG196624:BQG196629 CAC196624:CAC196629 CJY196624:CJY196629 CTU196624:CTU196629 DDQ196624:DDQ196629 DNM196624:DNM196629 DXI196624:DXI196629 EHE196624:EHE196629 ERA196624:ERA196629 FAW196624:FAW196629 FKS196624:FKS196629 FUO196624:FUO196629 GEK196624:GEK196629 GOG196624:GOG196629 GYC196624:GYC196629 HHY196624:HHY196629 HRU196624:HRU196629 IBQ196624:IBQ196629 ILM196624:ILM196629 IVI196624:IVI196629 JFE196624:JFE196629 JPA196624:JPA196629 JYW196624:JYW196629 KIS196624:KIS196629 KSO196624:KSO196629 LCK196624:LCK196629 LMG196624:LMG196629 LWC196624:LWC196629 MFY196624:MFY196629 MPU196624:MPU196629 MZQ196624:MZQ196629 NJM196624:NJM196629 NTI196624:NTI196629 ODE196624:ODE196629 ONA196624:ONA196629 OWW196624:OWW196629 PGS196624:PGS196629 PQO196624:PQO196629 QAK196624:QAK196629 QKG196624:QKG196629 QUC196624:QUC196629 RDY196624:RDY196629 RNU196624:RNU196629 RXQ196624:RXQ196629 SHM196624:SHM196629 SRI196624:SRI196629 TBE196624:TBE196629 TLA196624:TLA196629 TUW196624:TUW196629 UES196624:UES196629 UOO196624:UOO196629 UYK196624:UYK196629 VIG196624:VIG196629 VSC196624:VSC196629 WBY196624:WBY196629 WLU196624:WLU196629 WVQ196624:WVQ196629 I262160:I262165 JE262160:JE262165 TA262160:TA262165 ACW262160:ACW262165 AMS262160:AMS262165 AWO262160:AWO262165 BGK262160:BGK262165 BQG262160:BQG262165 CAC262160:CAC262165 CJY262160:CJY262165 CTU262160:CTU262165 DDQ262160:DDQ262165 DNM262160:DNM262165 DXI262160:DXI262165 EHE262160:EHE262165 ERA262160:ERA262165 FAW262160:FAW262165 FKS262160:FKS262165 FUO262160:FUO262165 GEK262160:GEK262165 GOG262160:GOG262165 GYC262160:GYC262165 HHY262160:HHY262165 HRU262160:HRU262165 IBQ262160:IBQ262165 ILM262160:ILM262165 IVI262160:IVI262165 JFE262160:JFE262165 JPA262160:JPA262165 JYW262160:JYW262165 KIS262160:KIS262165 KSO262160:KSO262165 LCK262160:LCK262165 LMG262160:LMG262165 LWC262160:LWC262165 MFY262160:MFY262165 MPU262160:MPU262165 MZQ262160:MZQ262165 NJM262160:NJM262165 NTI262160:NTI262165 ODE262160:ODE262165 ONA262160:ONA262165 OWW262160:OWW262165 PGS262160:PGS262165 PQO262160:PQO262165 QAK262160:QAK262165 QKG262160:QKG262165 QUC262160:QUC262165 RDY262160:RDY262165 RNU262160:RNU262165 RXQ262160:RXQ262165 SHM262160:SHM262165 SRI262160:SRI262165 TBE262160:TBE262165 TLA262160:TLA262165 TUW262160:TUW262165 UES262160:UES262165 UOO262160:UOO262165 UYK262160:UYK262165 VIG262160:VIG262165 VSC262160:VSC262165 WBY262160:WBY262165 WLU262160:WLU262165 WVQ262160:WVQ262165 I327696:I327701 JE327696:JE327701 TA327696:TA327701 ACW327696:ACW327701 AMS327696:AMS327701 AWO327696:AWO327701 BGK327696:BGK327701 BQG327696:BQG327701 CAC327696:CAC327701 CJY327696:CJY327701 CTU327696:CTU327701 DDQ327696:DDQ327701 DNM327696:DNM327701 DXI327696:DXI327701 EHE327696:EHE327701 ERA327696:ERA327701 FAW327696:FAW327701 FKS327696:FKS327701 FUO327696:FUO327701 GEK327696:GEK327701 GOG327696:GOG327701 GYC327696:GYC327701 HHY327696:HHY327701 HRU327696:HRU327701 IBQ327696:IBQ327701 ILM327696:ILM327701 IVI327696:IVI327701 JFE327696:JFE327701 JPA327696:JPA327701 JYW327696:JYW327701 KIS327696:KIS327701 KSO327696:KSO327701 LCK327696:LCK327701 LMG327696:LMG327701 LWC327696:LWC327701 MFY327696:MFY327701 MPU327696:MPU327701 MZQ327696:MZQ327701 NJM327696:NJM327701 NTI327696:NTI327701 ODE327696:ODE327701 ONA327696:ONA327701 OWW327696:OWW327701 PGS327696:PGS327701 PQO327696:PQO327701 QAK327696:QAK327701 QKG327696:QKG327701 QUC327696:QUC327701 RDY327696:RDY327701 RNU327696:RNU327701 RXQ327696:RXQ327701 SHM327696:SHM327701 SRI327696:SRI327701 TBE327696:TBE327701 TLA327696:TLA327701 TUW327696:TUW327701 UES327696:UES327701 UOO327696:UOO327701 UYK327696:UYK327701 VIG327696:VIG327701 VSC327696:VSC327701 WBY327696:WBY327701 WLU327696:WLU327701 WVQ327696:WVQ327701 I393232:I393237 JE393232:JE393237 TA393232:TA393237 ACW393232:ACW393237 AMS393232:AMS393237 AWO393232:AWO393237 BGK393232:BGK393237 BQG393232:BQG393237 CAC393232:CAC393237 CJY393232:CJY393237 CTU393232:CTU393237 DDQ393232:DDQ393237 DNM393232:DNM393237 DXI393232:DXI393237 EHE393232:EHE393237 ERA393232:ERA393237 FAW393232:FAW393237 FKS393232:FKS393237 FUO393232:FUO393237 GEK393232:GEK393237 GOG393232:GOG393237 GYC393232:GYC393237 HHY393232:HHY393237 HRU393232:HRU393237 IBQ393232:IBQ393237 ILM393232:ILM393237 IVI393232:IVI393237 JFE393232:JFE393237 JPA393232:JPA393237 JYW393232:JYW393237 KIS393232:KIS393237 KSO393232:KSO393237 LCK393232:LCK393237 LMG393232:LMG393237 LWC393232:LWC393237 MFY393232:MFY393237 MPU393232:MPU393237 MZQ393232:MZQ393237 NJM393232:NJM393237 NTI393232:NTI393237 ODE393232:ODE393237 ONA393232:ONA393237 OWW393232:OWW393237 PGS393232:PGS393237 PQO393232:PQO393237 QAK393232:QAK393237 QKG393232:QKG393237 QUC393232:QUC393237 RDY393232:RDY393237 RNU393232:RNU393237 RXQ393232:RXQ393237 SHM393232:SHM393237 SRI393232:SRI393237 TBE393232:TBE393237 TLA393232:TLA393237 TUW393232:TUW393237 UES393232:UES393237 UOO393232:UOO393237 UYK393232:UYK393237 VIG393232:VIG393237 VSC393232:VSC393237 WBY393232:WBY393237 WLU393232:WLU393237 WVQ393232:WVQ393237 I458768:I458773 JE458768:JE458773 TA458768:TA458773 ACW458768:ACW458773 AMS458768:AMS458773 AWO458768:AWO458773 BGK458768:BGK458773 BQG458768:BQG458773 CAC458768:CAC458773 CJY458768:CJY458773 CTU458768:CTU458773 DDQ458768:DDQ458773 DNM458768:DNM458773 DXI458768:DXI458773 EHE458768:EHE458773 ERA458768:ERA458773 FAW458768:FAW458773 FKS458768:FKS458773 FUO458768:FUO458773 GEK458768:GEK458773 GOG458768:GOG458773 GYC458768:GYC458773 HHY458768:HHY458773 HRU458768:HRU458773 IBQ458768:IBQ458773 ILM458768:ILM458773 IVI458768:IVI458773 JFE458768:JFE458773 JPA458768:JPA458773 JYW458768:JYW458773 KIS458768:KIS458773 KSO458768:KSO458773 LCK458768:LCK458773 LMG458768:LMG458773 LWC458768:LWC458773 MFY458768:MFY458773 MPU458768:MPU458773 MZQ458768:MZQ458773 NJM458768:NJM458773 NTI458768:NTI458773 ODE458768:ODE458773 ONA458768:ONA458773 OWW458768:OWW458773 PGS458768:PGS458773 PQO458768:PQO458773 QAK458768:QAK458773 QKG458768:QKG458773 QUC458768:QUC458773 RDY458768:RDY458773 RNU458768:RNU458773 RXQ458768:RXQ458773 SHM458768:SHM458773 SRI458768:SRI458773 TBE458768:TBE458773 TLA458768:TLA458773 TUW458768:TUW458773 UES458768:UES458773 UOO458768:UOO458773 UYK458768:UYK458773 VIG458768:VIG458773 VSC458768:VSC458773 WBY458768:WBY458773 WLU458768:WLU458773 WVQ458768:WVQ458773 I524304:I524309 JE524304:JE524309 TA524304:TA524309 ACW524304:ACW524309 AMS524304:AMS524309 AWO524304:AWO524309 BGK524304:BGK524309 BQG524304:BQG524309 CAC524304:CAC524309 CJY524304:CJY524309 CTU524304:CTU524309 DDQ524304:DDQ524309 DNM524304:DNM524309 DXI524304:DXI524309 EHE524304:EHE524309 ERA524304:ERA524309 FAW524304:FAW524309 FKS524304:FKS524309 FUO524304:FUO524309 GEK524304:GEK524309 GOG524304:GOG524309 GYC524304:GYC524309 HHY524304:HHY524309 HRU524304:HRU524309 IBQ524304:IBQ524309 ILM524304:ILM524309 IVI524304:IVI524309 JFE524304:JFE524309 JPA524304:JPA524309 JYW524304:JYW524309 KIS524304:KIS524309 KSO524304:KSO524309 LCK524304:LCK524309 LMG524304:LMG524309 LWC524304:LWC524309 MFY524304:MFY524309 MPU524304:MPU524309 MZQ524304:MZQ524309 NJM524304:NJM524309 NTI524304:NTI524309 ODE524304:ODE524309 ONA524304:ONA524309 OWW524304:OWW524309 PGS524304:PGS524309 PQO524304:PQO524309 QAK524304:QAK524309 QKG524304:QKG524309 QUC524304:QUC524309 RDY524304:RDY524309 RNU524304:RNU524309 RXQ524304:RXQ524309 SHM524304:SHM524309 SRI524304:SRI524309 TBE524304:TBE524309 TLA524304:TLA524309 TUW524304:TUW524309 UES524304:UES524309 UOO524304:UOO524309 UYK524304:UYK524309 VIG524304:VIG524309 VSC524304:VSC524309 WBY524304:WBY524309 WLU524304:WLU524309 WVQ524304:WVQ524309 I589840:I589845 JE589840:JE589845 TA589840:TA589845 ACW589840:ACW589845 AMS589840:AMS589845 AWO589840:AWO589845 BGK589840:BGK589845 BQG589840:BQG589845 CAC589840:CAC589845 CJY589840:CJY589845 CTU589840:CTU589845 DDQ589840:DDQ589845 DNM589840:DNM589845 DXI589840:DXI589845 EHE589840:EHE589845 ERA589840:ERA589845 FAW589840:FAW589845 FKS589840:FKS589845 FUO589840:FUO589845 GEK589840:GEK589845 GOG589840:GOG589845 GYC589840:GYC589845 HHY589840:HHY589845 HRU589840:HRU589845 IBQ589840:IBQ589845 ILM589840:ILM589845 IVI589840:IVI589845 JFE589840:JFE589845 JPA589840:JPA589845 JYW589840:JYW589845 KIS589840:KIS589845 KSO589840:KSO589845 LCK589840:LCK589845 LMG589840:LMG589845 LWC589840:LWC589845 MFY589840:MFY589845 MPU589840:MPU589845 MZQ589840:MZQ589845 NJM589840:NJM589845 NTI589840:NTI589845 ODE589840:ODE589845 ONA589840:ONA589845 OWW589840:OWW589845 PGS589840:PGS589845 PQO589840:PQO589845 QAK589840:QAK589845 QKG589840:QKG589845 QUC589840:QUC589845 RDY589840:RDY589845 RNU589840:RNU589845 RXQ589840:RXQ589845 SHM589840:SHM589845 SRI589840:SRI589845 TBE589840:TBE589845 TLA589840:TLA589845 TUW589840:TUW589845 UES589840:UES589845 UOO589840:UOO589845 UYK589840:UYK589845 VIG589840:VIG589845 VSC589840:VSC589845 WBY589840:WBY589845 WLU589840:WLU589845 WVQ589840:WVQ589845 I655376:I655381 JE655376:JE655381 TA655376:TA655381 ACW655376:ACW655381 AMS655376:AMS655381 AWO655376:AWO655381 BGK655376:BGK655381 BQG655376:BQG655381 CAC655376:CAC655381 CJY655376:CJY655381 CTU655376:CTU655381 DDQ655376:DDQ655381 DNM655376:DNM655381 DXI655376:DXI655381 EHE655376:EHE655381 ERA655376:ERA655381 FAW655376:FAW655381 FKS655376:FKS655381 FUO655376:FUO655381 GEK655376:GEK655381 GOG655376:GOG655381 GYC655376:GYC655381 HHY655376:HHY655381 HRU655376:HRU655381 IBQ655376:IBQ655381 ILM655376:ILM655381 IVI655376:IVI655381 JFE655376:JFE655381 JPA655376:JPA655381 JYW655376:JYW655381 KIS655376:KIS655381 KSO655376:KSO655381 LCK655376:LCK655381 LMG655376:LMG655381 LWC655376:LWC655381 MFY655376:MFY655381 MPU655376:MPU655381 MZQ655376:MZQ655381 NJM655376:NJM655381 NTI655376:NTI655381 ODE655376:ODE655381 ONA655376:ONA655381 OWW655376:OWW655381 PGS655376:PGS655381 PQO655376:PQO655381 QAK655376:QAK655381 QKG655376:QKG655381 QUC655376:QUC655381 RDY655376:RDY655381 RNU655376:RNU655381 RXQ655376:RXQ655381 SHM655376:SHM655381 SRI655376:SRI655381 TBE655376:TBE655381 TLA655376:TLA655381 TUW655376:TUW655381 UES655376:UES655381 UOO655376:UOO655381 UYK655376:UYK655381 VIG655376:VIG655381 VSC655376:VSC655381 WBY655376:WBY655381 WLU655376:WLU655381 WVQ655376:WVQ655381 I720912:I720917 JE720912:JE720917 TA720912:TA720917 ACW720912:ACW720917 AMS720912:AMS720917 AWO720912:AWO720917 BGK720912:BGK720917 BQG720912:BQG720917 CAC720912:CAC720917 CJY720912:CJY720917 CTU720912:CTU720917 DDQ720912:DDQ720917 DNM720912:DNM720917 DXI720912:DXI720917 EHE720912:EHE720917 ERA720912:ERA720917 FAW720912:FAW720917 FKS720912:FKS720917 FUO720912:FUO720917 GEK720912:GEK720917 GOG720912:GOG720917 GYC720912:GYC720917 HHY720912:HHY720917 HRU720912:HRU720917 IBQ720912:IBQ720917 ILM720912:ILM720917 IVI720912:IVI720917 JFE720912:JFE720917 JPA720912:JPA720917 JYW720912:JYW720917 KIS720912:KIS720917 KSO720912:KSO720917 LCK720912:LCK720917 LMG720912:LMG720917 LWC720912:LWC720917 MFY720912:MFY720917 MPU720912:MPU720917 MZQ720912:MZQ720917 NJM720912:NJM720917 NTI720912:NTI720917 ODE720912:ODE720917 ONA720912:ONA720917 OWW720912:OWW720917 PGS720912:PGS720917 PQO720912:PQO720917 QAK720912:QAK720917 QKG720912:QKG720917 QUC720912:QUC720917 RDY720912:RDY720917 RNU720912:RNU720917 RXQ720912:RXQ720917 SHM720912:SHM720917 SRI720912:SRI720917 TBE720912:TBE720917 TLA720912:TLA720917 TUW720912:TUW720917 UES720912:UES720917 UOO720912:UOO720917 UYK720912:UYK720917 VIG720912:VIG720917 VSC720912:VSC720917 WBY720912:WBY720917 WLU720912:WLU720917 WVQ720912:WVQ720917 I786448:I786453 JE786448:JE786453 TA786448:TA786453 ACW786448:ACW786453 AMS786448:AMS786453 AWO786448:AWO786453 BGK786448:BGK786453 BQG786448:BQG786453 CAC786448:CAC786453 CJY786448:CJY786453 CTU786448:CTU786453 DDQ786448:DDQ786453 DNM786448:DNM786453 DXI786448:DXI786453 EHE786448:EHE786453 ERA786448:ERA786453 FAW786448:FAW786453 FKS786448:FKS786453 FUO786448:FUO786453 GEK786448:GEK786453 GOG786448:GOG786453 GYC786448:GYC786453 HHY786448:HHY786453 HRU786448:HRU786453 IBQ786448:IBQ786453 ILM786448:ILM786453 IVI786448:IVI786453 JFE786448:JFE786453 JPA786448:JPA786453 JYW786448:JYW786453 KIS786448:KIS786453 KSO786448:KSO786453 LCK786448:LCK786453 LMG786448:LMG786453 LWC786448:LWC786453 MFY786448:MFY786453 MPU786448:MPU786453 MZQ786448:MZQ786453 NJM786448:NJM786453 NTI786448:NTI786453 ODE786448:ODE786453 ONA786448:ONA786453 OWW786448:OWW786453 PGS786448:PGS786453 PQO786448:PQO786453 QAK786448:QAK786453 QKG786448:QKG786453 QUC786448:QUC786453 RDY786448:RDY786453 RNU786448:RNU786453 RXQ786448:RXQ786453 SHM786448:SHM786453 SRI786448:SRI786453 TBE786448:TBE786453 TLA786448:TLA786453 TUW786448:TUW786453 UES786448:UES786453 UOO786448:UOO786453 UYK786448:UYK786453 VIG786448:VIG786453 VSC786448:VSC786453 WBY786448:WBY786453 WLU786448:WLU786453 WVQ786448:WVQ786453 I851984:I851989 JE851984:JE851989 TA851984:TA851989 ACW851984:ACW851989 AMS851984:AMS851989 AWO851984:AWO851989 BGK851984:BGK851989 BQG851984:BQG851989 CAC851984:CAC851989 CJY851984:CJY851989 CTU851984:CTU851989 DDQ851984:DDQ851989 DNM851984:DNM851989 DXI851984:DXI851989 EHE851984:EHE851989 ERA851984:ERA851989 FAW851984:FAW851989 FKS851984:FKS851989 FUO851984:FUO851989 GEK851984:GEK851989 GOG851984:GOG851989 GYC851984:GYC851989 HHY851984:HHY851989 HRU851984:HRU851989 IBQ851984:IBQ851989 ILM851984:ILM851989 IVI851984:IVI851989 JFE851984:JFE851989 JPA851984:JPA851989 JYW851984:JYW851989 KIS851984:KIS851989 KSO851984:KSO851989 LCK851984:LCK851989 LMG851984:LMG851989 LWC851984:LWC851989 MFY851984:MFY851989 MPU851984:MPU851989 MZQ851984:MZQ851989 NJM851984:NJM851989 NTI851984:NTI851989 ODE851984:ODE851989 ONA851984:ONA851989 OWW851984:OWW851989 PGS851984:PGS851989 PQO851984:PQO851989 QAK851984:QAK851989 QKG851984:QKG851989 QUC851984:QUC851989 RDY851984:RDY851989 RNU851984:RNU851989 RXQ851984:RXQ851989 SHM851984:SHM851989 SRI851984:SRI851989 TBE851984:TBE851989 TLA851984:TLA851989 TUW851984:TUW851989 UES851984:UES851989 UOO851984:UOO851989 UYK851984:UYK851989 VIG851984:VIG851989 VSC851984:VSC851989 WBY851984:WBY851989 WLU851984:WLU851989 WVQ851984:WVQ851989 I917520:I917525 JE917520:JE917525 TA917520:TA917525 ACW917520:ACW917525 AMS917520:AMS917525 AWO917520:AWO917525 BGK917520:BGK917525 BQG917520:BQG917525 CAC917520:CAC917525 CJY917520:CJY917525 CTU917520:CTU917525 DDQ917520:DDQ917525 DNM917520:DNM917525 DXI917520:DXI917525 EHE917520:EHE917525 ERA917520:ERA917525 FAW917520:FAW917525 FKS917520:FKS917525 FUO917520:FUO917525 GEK917520:GEK917525 GOG917520:GOG917525 GYC917520:GYC917525 HHY917520:HHY917525 HRU917520:HRU917525 IBQ917520:IBQ917525 ILM917520:ILM917525 IVI917520:IVI917525 JFE917520:JFE917525 JPA917520:JPA917525 JYW917520:JYW917525 KIS917520:KIS917525 KSO917520:KSO917525 LCK917520:LCK917525 LMG917520:LMG917525 LWC917520:LWC917525 MFY917520:MFY917525 MPU917520:MPU917525 MZQ917520:MZQ917525 NJM917520:NJM917525 NTI917520:NTI917525 ODE917520:ODE917525 ONA917520:ONA917525 OWW917520:OWW917525 PGS917520:PGS917525 PQO917520:PQO917525 QAK917520:QAK917525 QKG917520:QKG917525 QUC917520:QUC917525 RDY917520:RDY917525 RNU917520:RNU917525 RXQ917520:RXQ917525 SHM917520:SHM917525 SRI917520:SRI917525 TBE917520:TBE917525 TLA917520:TLA917525 TUW917520:TUW917525 UES917520:UES917525 UOO917520:UOO917525 UYK917520:UYK917525 VIG917520:VIG917525 VSC917520:VSC917525 WBY917520:WBY917525 WLU917520:WLU917525 WVQ917520:WVQ917525 I983056:I983061 JE983056:JE983061 TA983056:TA983061 ACW983056:ACW983061 AMS983056:AMS983061 AWO983056:AWO983061 BGK983056:BGK983061 BQG983056:BQG983061 CAC983056:CAC983061 CJY983056:CJY983061 CTU983056:CTU983061 DDQ983056:DDQ983061 DNM983056:DNM983061 DXI983056:DXI983061 EHE983056:EHE983061 ERA983056:ERA983061 FAW983056:FAW983061 FKS983056:FKS983061 FUO983056:FUO983061 GEK983056:GEK983061 GOG983056:GOG983061 GYC983056:GYC983061 HHY983056:HHY983061 HRU983056:HRU983061 IBQ983056:IBQ983061 ILM983056:ILM983061 IVI983056:IVI983061 JFE983056:JFE983061 JPA983056:JPA983061 JYW983056:JYW983061 KIS983056:KIS983061 KSO983056:KSO983061 LCK983056:LCK983061 LMG983056:LMG983061 LWC983056:LWC983061 MFY983056:MFY983061 MPU983056:MPU983061 MZQ983056:MZQ983061 NJM983056:NJM983061 NTI983056:NTI983061 ODE983056:ODE983061 ONA983056:ONA983061 OWW983056:OWW983061 PGS983056:PGS983061 PQO983056:PQO983061 QAK983056:QAK983061 QKG983056:QKG983061 QUC983056:QUC983061 RDY983056:RDY983061 RNU983056:RNU983061 RXQ983056:RXQ983061 SHM983056:SHM983061 SRI983056:SRI983061 TBE983056:TBE983061 TLA983056:TLA983061 TUW983056:TUW983061 UES983056:UES983061 UOO983056:UOO983061 UYK983056:UYK983061 VIG983056:VIG983061 VSC983056:VSC983061 WBY983056:WBY983061 WLU983056:WLU983061 WVQ983056:WVQ983061 F16:F21 JB16:JB21 SX16:SX21 ACT16:ACT21 AMP16:AMP21 AWL16:AWL21 BGH16:BGH21 BQD16:BQD21 BZZ16:BZZ21 CJV16:CJV21 CTR16:CTR21 DDN16:DDN21 DNJ16:DNJ21 DXF16:DXF21 EHB16:EHB21 EQX16:EQX21 FAT16:FAT21 FKP16:FKP21 FUL16:FUL21 GEH16:GEH21 GOD16:GOD21 GXZ16:GXZ21 HHV16:HHV21 HRR16:HRR21 IBN16:IBN21 ILJ16:ILJ21 IVF16:IVF21 JFB16:JFB21 JOX16:JOX21 JYT16:JYT21 KIP16:KIP21 KSL16:KSL21 LCH16:LCH21 LMD16:LMD21 LVZ16:LVZ21 MFV16:MFV21 MPR16:MPR21 MZN16:MZN21 NJJ16:NJJ21 NTF16:NTF21 ODB16:ODB21 OMX16:OMX21 OWT16:OWT21 PGP16:PGP21 PQL16:PQL21 QAH16:QAH21 QKD16:QKD21 QTZ16:QTZ21 RDV16:RDV21 RNR16:RNR21 RXN16:RXN21 SHJ16:SHJ21 SRF16:SRF21 TBB16:TBB21 TKX16:TKX21 TUT16:TUT21 UEP16:UEP21 UOL16:UOL21 UYH16:UYH21 VID16:VID21 VRZ16:VRZ21 WBV16:WBV21 WLR16:WLR21 WVN16:WVN21 F65552:F65557 JB65552:JB65557 SX65552:SX65557 ACT65552:ACT65557 AMP65552:AMP65557 AWL65552:AWL65557 BGH65552:BGH65557 BQD65552:BQD65557 BZZ65552:BZZ65557 CJV65552:CJV65557 CTR65552:CTR65557 DDN65552:DDN65557 DNJ65552:DNJ65557 DXF65552:DXF65557 EHB65552:EHB65557 EQX65552:EQX65557 FAT65552:FAT65557 FKP65552:FKP65557 FUL65552:FUL65557 GEH65552:GEH65557 GOD65552:GOD65557 GXZ65552:GXZ65557 HHV65552:HHV65557 HRR65552:HRR65557 IBN65552:IBN65557 ILJ65552:ILJ65557 IVF65552:IVF65557 JFB65552:JFB65557 JOX65552:JOX65557 JYT65552:JYT65557 KIP65552:KIP65557 KSL65552:KSL65557 LCH65552:LCH65557 LMD65552:LMD65557 LVZ65552:LVZ65557 MFV65552:MFV65557 MPR65552:MPR65557 MZN65552:MZN65557 NJJ65552:NJJ65557 NTF65552:NTF65557 ODB65552:ODB65557 OMX65552:OMX65557 OWT65552:OWT65557 PGP65552:PGP65557 PQL65552:PQL65557 QAH65552:QAH65557 QKD65552:QKD65557 QTZ65552:QTZ65557 RDV65552:RDV65557 RNR65552:RNR65557 RXN65552:RXN65557 SHJ65552:SHJ65557 SRF65552:SRF65557 TBB65552:TBB65557 TKX65552:TKX65557 TUT65552:TUT65557 UEP65552:UEP65557 UOL65552:UOL65557 UYH65552:UYH65557 VID65552:VID65557 VRZ65552:VRZ65557 WBV65552:WBV65557 WLR65552:WLR65557 WVN65552:WVN65557 F131088:F131093 JB131088:JB131093 SX131088:SX131093 ACT131088:ACT131093 AMP131088:AMP131093 AWL131088:AWL131093 BGH131088:BGH131093 BQD131088:BQD131093 BZZ131088:BZZ131093 CJV131088:CJV131093 CTR131088:CTR131093 DDN131088:DDN131093 DNJ131088:DNJ131093 DXF131088:DXF131093 EHB131088:EHB131093 EQX131088:EQX131093 FAT131088:FAT131093 FKP131088:FKP131093 FUL131088:FUL131093 GEH131088:GEH131093 GOD131088:GOD131093 GXZ131088:GXZ131093 HHV131088:HHV131093 HRR131088:HRR131093 IBN131088:IBN131093 ILJ131088:ILJ131093 IVF131088:IVF131093 JFB131088:JFB131093 JOX131088:JOX131093 JYT131088:JYT131093 KIP131088:KIP131093 KSL131088:KSL131093 LCH131088:LCH131093 LMD131088:LMD131093 LVZ131088:LVZ131093 MFV131088:MFV131093 MPR131088:MPR131093 MZN131088:MZN131093 NJJ131088:NJJ131093 NTF131088:NTF131093 ODB131088:ODB131093 OMX131088:OMX131093 OWT131088:OWT131093 PGP131088:PGP131093 PQL131088:PQL131093 QAH131088:QAH131093 QKD131088:QKD131093 QTZ131088:QTZ131093 RDV131088:RDV131093 RNR131088:RNR131093 RXN131088:RXN131093 SHJ131088:SHJ131093 SRF131088:SRF131093 TBB131088:TBB131093 TKX131088:TKX131093 TUT131088:TUT131093 UEP131088:UEP131093 UOL131088:UOL131093 UYH131088:UYH131093 VID131088:VID131093 VRZ131088:VRZ131093 WBV131088:WBV131093 WLR131088:WLR131093 WVN131088:WVN131093 F196624:F196629 JB196624:JB196629 SX196624:SX196629 ACT196624:ACT196629 AMP196624:AMP196629 AWL196624:AWL196629 BGH196624:BGH196629 BQD196624:BQD196629 BZZ196624:BZZ196629 CJV196624:CJV196629 CTR196624:CTR196629 DDN196624:DDN196629 DNJ196624:DNJ196629 DXF196624:DXF196629 EHB196624:EHB196629 EQX196624:EQX196629 FAT196624:FAT196629 FKP196624:FKP196629 FUL196624:FUL196629 GEH196624:GEH196629 GOD196624:GOD196629 GXZ196624:GXZ196629 HHV196624:HHV196629 HRR196624:HRR196629 IBN196624:IBN196629 ILJ196624:ILJ196629 IVF196624:IVF196629 JFB196624:JFB196629 JOX196624:JOX196629 JYT196624:JYT196629 KIP196624:KIP196629 KSL196624:KSL196629 LCH196624:LCH196629 LMD196624:LMD196629 LVZ196624:LVZ196629 MFV196624:MFV196629 MPR196624:MPR196629 MZN196624:MZN196629 NJJ196624:NJJ196629 NTF196624:NTF196629 ODB196624:ODB196629 OMX196624:OMX196629 OWT196624:OWT196629 PGP196624:PGP196629 PQL196624:PQL196629 QAH196624:QAH196629 QKD196624:QKD196629 QTZ196624:QTZ196629 RDV196624:RDV196629 RNR196624:RNR196629 RXN196624:RXN196629 SHJ196624:SHJ196629 SRF196624:SRF196629 TBB196624:TBB196629 TKX196624:TKX196629 TUT196624:TUT196629 UEP196624:UEP196629 UOL196624:UOL196629 UYH196624:UYH196629 VID196624:VID196629 VRZ196624:VRZ196629 WBV196624:WBV196629 WLR196624:WLR196629 WVN196624:WVN196629 F262160:F262165 JB262160:JB262165 SX262160:SX262165 ACT262160:ACT262165 AMP262160:AMP262165 AWL262160:AWL262165 BGH262160:BGH262165 BQD262160:BQD262165 BZZ262160:BZZ262165 CJV262160:CJV262165 CTR262160:CTR262165 DDN262160:DDN262165 DNJ262160:DNJ262165 DXF262160:DXF262165 EHB262160:EHB262165 EQX262160:EQX262165 FAT262160:FAT262165 FKP262160:FKP262165 FUL262160:FUL262165 GEH262160:GEH262165 GOD262160:GOD262165 GXZ262160:GXZ262165 HHV262160:HHV262165 HRR262160:HRR262165 IBN262160:IBN262165 ILJ262160:ILJ262165 IVF262160:IVF262165 JFB262160:JFB262165 JOX262160:JOX262165 JYT262160:JYT262165 KIP262160:KIP262165 KSL262160:KSL262165 LCH262160:LCH262165 LMD262160:LMD262165 LVZ262160:LVZ262165 MFV262160:MFV262165 MPR262160:MPR262165 MZN262160:MZN262165 NJJ262160:NJJ262165 NTF262160:NTF262165 ODB262160:ODB262165 OMX262160:OMX262165 OWT262160:OWT262165 PGP262160:PGP262165 PQL262160:PQL262165 QAH262160:QAH262165 QKD262160:QKD262165 QTZ262160:QTZ262165 RDV262160:RDV262165 RNR262160:RNR262165 RXN262160:RXN262165 SHJ262160:SHJ262165 SRF262160:SRF262165 TBB262160:TBB262165 TKX262160:TKX262165 TUT262160:TUT262165 UEP262160:UEP262165 UOL262160:UOL262165 UYH262160:UYH262165 VID262160:VID262165 VRZ262160:VRZ262165 WBV262160:WBV262165 WLR262160:WLR262165 WVN262160:WVN262165 F327696:F327701 JB327696:JB327701 SX327696:SX327701 ACT327696:ACT327701 AMP327696:AMP327701 AWL327696:AWL327701 BGH327696:BGH327701 BQD327696:BQD327701 BZZ327696:BZZ327701 CJV327696:CJV327701 CTR327696:CTR327701 DDN327696:DDN327701 DNJ327696:DNJ327701 DXF327696:DXF327701 EHB327696:EHB327701 EQX327696:EQX327701 FAT327696:FAT327701 FKP327696:FKP327701 FUL327696:FUL327701 GEH327696:GEH327701 GOD327696:GOD327701 GXZ327696:GXZ327701 HHV327696:HHV327701 HRR327696:HRR327701 IBN327696:IBN327701 ILJ327696:ILJ327701 IVF327696:IVF327701 JFB327696:JFB327701 JOX327696:JOX327701 JYT327696:JYT327701 KIP327696:KIP327701 KSL327696:KSL327701 LCH327696:LCH327701 LMD327696:LMD327701 LVZ327696:LVZ327701 MFV327696:MFV327701 MPR327696:MPR327701 MZN327696:MZN327701 NJJ327696:NJJ327701 NTF327696:NTF327701 ODB327696:ODB327701 OMX327696:OMX327701 OWT327696:OWT327701 PGP327696:PGP327701 PQL327696:PQL327701 QAH327696:QAH327701 QKD327696:QKD327701 QTZ327696:QTZ327701 RDV327696:RDV327701 RNR327696:RNR327701 RXN327696:RXN327701 SHJ327696:SHJ327701 SRF327696:SRF327701 TBB327696:TBB327701 TKX327696:TKX327701 TUT327696:TUT327701 UEP327696:UEP327701 UOL327696:UOL327701 UYH327696:UYH327701 VID327696:VID327701 VRZ327696:VRZ327701 WBV327696:WBV327701 WLR327696:WLR327701 WVN327696:WVN327701 F393232:F393237 JB393232:JB393237 SX393232:SX393237 ACT393232:ACT393237 AMP393232:AMP393237 AWL393232:AWL393237 BGH393232:BGH393237 BQD393232:BQD393237 BZZ393232:BZZ393237 CJV393232:CJV393237 CTR393232:CTR393237 DDN393232:DDN393237 DNJ393232:DNJ393237 DXF393232:DXF393237 EHB393232:EHB393237 EQX393232:EQX393237 FAT393232:FAT393237 FKP393232:FKP393237 FUL393232:FUL393237 GEH393232:GEH393237 GOD393232:GOD393237 GXZ393232:GXZ393237 HHV393232:HHV393237 HRR393232:HRR393237 IBN393232:IBN393237 ILJ393232:ILJ393237 IVF393232:IVF393237 JFB393232:JFB393237 JOX393232:JOX393237 JYT393232:JYT393237 KIP393232:KIP393237 KSL393232:KSL393237 LCH393232:LCH393237 LMD393232:LMD393237 LVZ393232:LVZ393237 MFV393232:MFV393237 MPR393232:MPR393237 MZN393232:MZN393237 NJJ393232:NJJ393237 NTF393232:NTF393237 ODB393232:ODB393237 OMX393232:OMX393237 OWT393232:OWT393237 PGP393232:PGP393237 PQL393232:PQL393237 QAH393232:QAH393237 QKD393232:QKD393237 QTZ393232:QTZ393237 RDV393232:RDV393237 RNR393232:RNR393237 RXN393232:RXN393237 SHJ393232:SHJ393237 SRF393232:SRF393237 TBB393232:TBB393237 TKX393232:TKX393237 TUT393232:TUT393237 UEP393232:UEP393237 UOL393232:UOL393237 UYH393232:UYH393237 VID393232:VID393237 VRZ393232:VRZ393237 WBV393232:WBV393237 WLR393232:WLR393237 WVN393232:WVN393237 F458768:F458773 JB458768:JB458773 SX458768:SX458773 ACT458768:ACT458773 AMP458768:AMP458773 AWL458768:AWL458773 BGH458768:BGH458773 BQD458768:BQD458773 BZZ458768:BZZ458773 CJV458768:CJV458773 CTR458768:CTR458773 DDN458768:DDN458773 DNJ458768:DNJ458773 DXF458768:DXF458773 EHB458768:EHB458773 EQX458768:EQX458773 FAT458768:FAT458773 FKP458768:FKP458773 FUL458768:FUL458773 GEH458768:GEH458773 GOD458768:GOD458773 GXZ458768:GXZ458773 HHV458768:HHV458773 HRR458768:HRR458773 IBN458768:IBN458773 ILJ458768:ILJ458773 IVF458768:IVF458773 JFB458768:JFB458773 JOX458768:JOX458773 JYT458768:JYT458773 KIP458768:KIP458773 KSL458768:KSL458773 LCH458768:LCH458773 LMD458768:LMD458773 LVZ458768:LVZ458773 MFV458768:MFV458773 MPR458768:MPR458773 MZN458768:MZN458773 NJJ458768:NJJ458773 NTF458768:NTF458773 ODB458768:ODB458773 OMX458768:OMX458773 OWT458768:OWT458773 PGP458768:PGP458773 PQL458768:PQL458773 QAH458768:QAH458773 QKD458768:QKD458773 QTZ458768:QTZ458773 RDV458768:RDV458773 RNR458768:RNR458773 RXN458768:RXN458773 SHJ458768:SHJ458773 SRF458768:SRF458773 TBB458768:TBB458773 TKX458768:TKX458773 TUT458768:TUT458773 UEP458768:UEP458773 UOL458768:UOL458773 UYH458768:UYH458773 VID458768:VID458773 VRZ458768:VRZ458773 WBV458768:WBV458773 WLR458768:WLR458773 WVN458768:WVN458773 F524304:F524309 JB524304:JB524309 SX524304:SX524309 ACT524304:ACT524309 AMP524304:AMP524309 AWL524304:AWL524309 BGH524304:BGH524309 BQD524304:BQD524309 BZZ524304:BZZ524309 CJV524304:CJV524309 CTR524304:CTR524309 DDN524304:DDN524309 DNJ524304:DNJ524309 DXF524304:DXF524309 EHB524304:EHB524309 EQX524304:EQX524309 FAT524304:FAT524309 FKP524304:FKP524309 FUL524304:FUL524309 GEH524304:GEH524309 GOD524304:GOD524309 GXZ524304:GXZ524309 HHV524304:HHV524309 HRR524304:HRR524309 IBN524304:IBN524309 ILJ524304:ILJ524309 IVF524304:IVF524309 JFB524304:JFB524309 JOX524304:JOX524309 JYT524304:JYT524309 KIP524304:KIP524309 KSL524304:KSL524309 LCH524304:LCH524309 LMD524304:LMD524309 LVZ524304:LVZ524309 MFV524304:MFV524309 MPR524304:MPR524309 MZN524304:MZN524309 NJJ524304:NJJ524309 NTF524304:NTF524309 ODB524304:ODB524309 OMX524304:OMX524309 OWT524304:OWT524309 PGP524304:PGP524309 PQL524304:PQL524309 QAH524304:QAH524309 QKD524304:QKD524309 QTZ524304:QTZ524309 RDV524304:RDV524309 RNR524304:RNR524309 RXN524304:RXN524309 SHJ524304:SHJ524309 SRF524304:SRF524309 TBB524304:TBB524309 TKX524304:TKX524309 TUT524304:TUT524309 UEP524304:UEP524309 UOL524304:UOL524309 UYH524304:UYH524309 VID524304:VID524309 VRZ524304:VRZ524309 WBV524304:WBV524309 WLR524304:WLR524309 WVN524304:WVN524309 F589840:F589845 JB589840:JB589845 SX589840:SX589845 ACT589840:ACT589845 AMP589840:AMP589845 AWL589840:AWL589845 BGH589840:BGH589845 BQD589840:BQD589845 BZZ589840:BZZ589845 CJV589840:CJV589845 CTR589840:CTR589845 DDN589840:DDN589845 DNJ589840:DNJ589845 DXF589840:DXF589845 EHB589840:EHB589845 EQX589840:EQX589845 FAT589840:FAT589845 FKP589840:FKP589845 FUL589840:FUL589845 GEH589840:GEH589845 GOD589840:GOD589845 GXZ589840:GXZ589845 HHV589840:HHV589845 HRR589840:HRR589845 IBN589840:IBN589845 ILJ589840:ILJ589845 IVF589840:IVF589845 JFB589840:JFB589845 JOX589840:JOX589845 JYT589840:JYT589845 KIP589840:KIP589845 KSL589840:KSL589845 LCH589840:LCH589845 LMD589840:LMD589845 LVZ589840:LVZ589845 MFV589840:MFV589845 MPR589840:MPR589845 MZN589840:MZN589845 NJJ589840:NJJ589845 NTF589840:NTF589845 ODB589840:ODB589845 OMX589840:OMX589845 OWT589840:OWT589845 PGP589840:PGP589845 PQL589840:PQL589845 QAH589840:QAH589845 QKD589840:QKD589845 QTZ589840:QTZ589845 RDV589840:RDV589845 RNR589840:RNR589845 RXN589840:RXN589845 SHJ589840:SHJ589845 SRF589840:SRF589845 TBB589840:TBB589845 TKX589840:TKX589845 TUT589840:TUT589845 UEP589840:UEP589845 UOL589840:UOL589845 UYH589840:UYH589845 VID589840:VID589845 VRZ589840:VRZ589845 WBV589840:WBV589845 WLR589840:WLR589845 WVN589840:WVN589845 F655376:F655381 JB655376:JB655381 SX655376:SX655381 ACT655376:ACT655381 AMP655376:AMP655381 AWL655376:AWL655381 BGH655376:BGH655381 BQD655376:BQD655381 BZZ655376:BZZ655381 CJV655376:CJV655381 CTR655376:CTR655381 DDN655376:DDN655381 DNJ655376:DNJ655381 DXF655376:DXF655381 EHB655376:EHB655381 EQX655376:EQX655381 FAT655376:FAT655381 FKP655376:FKP655381 FUL655376:FUL655381 GEH655376:GEH655381 GOD655376:GOD655381 GXZ655376:GXZ655381 HHV655376:HHV655381 HRR655376:HRR655381 IBN655376:IBN655381 ILJ655376:ILJ655381 IVF655376:IVF655381 JFB655376:JFB655381 JOX655376:JOX655381 JYT655376:JYT655381 KIP655376:KIP655381 KSL655376:KSL655381 LCH655376:LCH655381 LMD655376:LMD655381 LVZ655376:LVZ655381 MFV655376:MFV655381 MPR655376:MPR655381 MZN655376:MZN655381 NJJ655376:NJJ655381 NTF655376:NTF655381 ODB655376:ODB655381 OMX655376:OMX655381 OWT655376:OWT655381 PGP655376:PGP655381 PQL655376:PQL655381 QAH655376:QAH655381 QKD655376:QKD655381 QTZ655376:QTZ655381 RDV655376:RDV655381 RNR655376:RNR655381 RXN655376:RXN655381 SHJ655376:SHJ655381 SRF655376:SRF655381 TBB655376:TBB655381 TKX655376:TKX655381 TUT655376:TUT655381 UEP655376:UEP655381 UOL655376:UOL655381 UYH655376:UYH655381 VID655376:VID655381 VRZ655376:VRZ655381 WBV655376:WBV655381 WLR655376:WLR655381 WVN655376:WVN655381 F720912:F720917 JB720912:JB720917 SX720912:SX720917 ACT720912:ACT720917 AMP720912:AMP720917 AWL720912:AWL720917 BGH720912:BGH720917 BQD720912:BQD720917 BZZ720912:BZZ720917 CJV720912:CJV720917 CTR720912:CTR720917 DDN720912:DDN720917 DNJ720912:DNJ720917 DXF720912:DXF720917 EHB720912:EHB720917 EQX720912:EQX720917 FAT720912:FAT720917 FKP720912:FKP720917 FUL720912:FUL720917 GEH720912:GEH720917 GOD720912:GOD720917 GXZ720912:GXZ720917 HHV720912:HHV720917 HRR720912:HRR720917 IBN720912:IBN720917 ILJ720912:ILJ720917 IVF720912:IVF720917 JFB720912:JFB720917 JOX720912:JOX720917 JYT720912:JYT720917 KIP720912:KIP720917 KSL720912:KSL720917 LCH720912:LCH720917 LMD720912:LMD720917 LVZ720912:LVZ720917 MFV720912:MFV720917 MPR720912:MPR720917 MZN720912:MZN720917 NJJ720912:NJJ720917 NTF720912:NTF720917 ODB720912:ODB720917 OMX720912:OMX720917 OWT720912:OWT720917 PGP720912:PGP720917 PQL720912:PQL720917 QAH720912:QAH720917 QKD720912:QKD720917 QTZ720912:QTZ720917 RDV720912:RDV720917 RNR720912:RNR720917 RXN720912:RXN720917 SHJ720912:SHJ720917 SRF720912:SRF720917 TBB720912:TBB720917 TKX720912:TKX720917 TUT720912:TUT720917 UEP720912:UEP720917 UOL720912:UOL720917 UYH720912:UYH720917 VID720912:VID720917 VRZ720912:VRZ720917 WBV720912:WBV720917 WLR720912:WLR720917 WVN720912:WVN720917 F786448:F786453 JB786448:JB786453 SX786448:SX786453 ACT786448:ACT786453 AMP786448:AMP786453 AWL786448:AWL786453 BGH786448:BGH786453 BQD786448:BQD786453 BZZ786448:BZZ786453 CJV786448:CJV786453 CTR786448:CTR786453 DDN786448:DDN786453 DNJ786448:DNJ786453 DXF786448:DXF786453 EHB786448:EHB786453 EQX786448:EQX786453 FAT786448:FAT786453 FKP786448:FKP786453 FUL786448:FUL786453 GEH786448:GEH786453 GOD786448:GOD786453 GXZ786448:GXZ786453 HHV786448:HHV786453 HRR786448:HRR786453 IBN786448:IBN786453 ILJ786448:ILJ786453 IVF786448:IVF786453 JFB786448:JFB786453 JOX786448:JOX786453 JYT786448:JYT786453 KIP786448:KIP786453 KSL786448:KSL786453 LCH786448:LCH786453 LMD786448:LMD786453 LVZ786448:LVZ786453 MFV786448:MFV786453 MPR786448:MPR786453 MZN786448:MZN786453 NJJ786448:NJJ786453 NTF786448:NTF786453 ODB786448:ODB786453 OMX786448:OMX786453 OWT786448:OWT786453 PGP786448:PGP786453 PQL786448:PQL786453 QAH786448:QAH786453 QKD786448:QKD786453 QTZ786448:QTZ786453 RDV786448:RDV786453 RNR786448:RNR786453 RXN786448:RXN786453 SHJ786448:SHJ786453 SRF786448:SRF786453 TBB786448:TBB786453 TKX786448:TKX786453 TUT786448:TUT786453 UEP786448:UEP786453 UOL786448:UOL786453 UYH786448:UYH786453 VID786448:VID786453 VRZ786448:VRZ786453 WBV786448:WBV786453 WLR786448:WLR786453 WVN786448:WVN786453 F851984:F851989 JB851984:JB851989 SX851984:SX851989 ACT851984:ACT851989 AMP851984:AMP851989 AWL851984:AWL851989 BGH851984:BGH851989 BQD851984:BQD851989 BZZ851984:BZZ851989 CJV851984:CJV851989 CTR851984:CTR851989 DDN851984:DDN851989 DNJ851984:DNJ851989 DXF851984:DXF851989 EHB851984:EHB851989 EQX851984:EQX851989 FAT851984:FAT851989 FKP851984:FKP851989 FUL851984:FUL851989 GEH851984:GEH851989 GOD851984:GOD851989 GXZ851984:GXZ851989 HHV851984:HHV851989 HRR851984:HRR851989 IBN851984:IBN851989 ILJ851984:ILJ851989 IVF851984:IVF851989 JFB851984:JFB851989 JOX851984:JOX851989 JYT851984:JYT851989 KIP851984:KIP851989 KSL851984:KSL851989 LCH851984:LCH851989 LMD851984:LMD851989 LVZ851984:LVZ851989 MFV851984:MFV851989 MPR851984:MPR851989 MZN851984:MZN851989 NJJ851984:NJJ851989 NTF851984:NTF851989 ODB851984:ODB851989 OMX851984:OMX851989 OWT851984:OWT851989 PGP851984:PGP851989 PQL851984:PQL851989 QAH851984:QAH851989 QKD851984:QKD851989 QTZ851984:QTZ851989 RDV851984:RDV851989 RNR851984:RNR851989 RXN851984:RXN851989 SHJ851984:SHJ851989 SRF851984:SRF851989 TBB851984:TBB851989 TKX851984:TKX851989 TUT851984:TUT851989 UEP851984:UEP851989 UOL851984:UOL851989 UYH851984:UYH851989 VID851984:VID851989 VRZ851984:VRZ851989 WBV851984:WBV851989 WLR851984:WLR851989 WVN851984:WVN851989 F917520:F917525 JB917520:JB917525 SX917520:SX917525 ACT917520:ACT917525 AMP917520:AMP917525 AWL917520:AWL917525 BGH917520:BGH917525 BQD917520:BQD917525 BZZ917520:BZZ917525 CJV917520:CJV917525 CTR917520:CTR917525 DDN917520:DDN917525 DNJ917520:DNJ917525 DXF917520:DXF917525 EHB917520:EHB917525 EQX917520:EQX917525 FAT917520:FAT917525 FKP917520:FKP917525 FUL917520:FUL917525 GEH917520:GEH917525 GOD917520:GOD917525 GXZ917520:GXZ917525 HHV917520:HHV917525 HRR917520:HRR917525 IBN917520:IBN917525 ILJ917520:ILJ917525 IVF917520:IVF917525 JFB917520:JFB917525 JOX917520:JOX917525 JYT917520:JYT917525 KIP917520:KIP917525 KSL917520:KSL917525 LCH917520:LCH917525 LMD917520:LMD917525 LVZ917520:LVZ917525 MFV917520:MFV917525 MPR917520:MPR917525 MZN917520:MZN917525 NJJ917520:NJJ917525 NTF917520:NTF917525 ODB917520:ODB917525 OMX917520:OMX917525 OWT917520:OWT917525 PGP917520:PGP917525 PQL917520:PQL917525 QAH917520:QAH917525 QKD917520:QKD917525 QTZ917520:QTZ917525 RDV917520:RDV917525 RNR917520:RNR917525 RXN917520:RXN917525 SHJ917520:SHJ917525 SRF917520:SRF917525 TBB917520:TBB917525 TKX917520:TKX917525 TUT917520:TUT917525 UEP917520:UEP917525 UOL917520:UOL917525 UYH917520:UYH917525 VID917520:VID917525 VRZ917520:VRZ917525 WBV917520:WBV917525 WLR917520:WLR917525 WVN917520:WVN917525 F983056:F983061 JB983056:JB983061 SX983056:SX983061 ACT983056:ACT983061 AMP983056:AMP983061 AWL983056:AWL983061 BGH983056:BGH983061 BQD983056:BQD983061 BZZ983056:BZZ983061 CJV983056:CJV983061 CTR983056:CTR983061 DDN983056:DDN983061 DNJ983056:DNJ983061 DXF983056:DXF983061 EHB983056:EHB983061 EQX983056:EQX983061 FAT983056:FAT983061 FKP983056:FKP983061 FUL983056:FUL983061 GEH983056:GEH983061 GOD983056:GOD983061 GXZ983056:GXZ983061 HHV983056:HHV983061 HRR983056:HRR983061 IBN983056:IBN983061 ILJ983056:ILJ983061 IVF983056:IVF983061 JFB983056:JFB983061 JOX983056:JOX983061 JYT983056:JYT983061 KIP983056:KIP983061 KSL983056:KSL983061 LCH983056:LCH983061 LMD983056:LMD983061 LVZ983056:LVZ983061 MFV983056:MFV983061 MPR983056:MPR983061 MZN983056:MZN983061 NJJ983056:NJJ983061 NTF983056:NTF983061 ODB983056:ODB983061 OMX983056:OMX983061 OWT983056:OWT983061 PGP983056:PGP983061 PQL983056:PQL983061 QAH983056:QAH983061 QKD983056:QKD983061 QTZ983056:QTZ983061 RDV983056:RDV983061 RNR983056:RNR983061 RXN983056:RXN983061 SHJ983056:SHJ983061 SRF983056:SRF983061 TBB983056:TBB983061 TKX983056:TKX983061 TUT983056:TUT983061 UEP983056:UEP983061 UOL983056:UOL983061 UYH983056:UYH983061 VID983056:VID983061 VRZ983056:VRZ983061 WBV983056:WBV983061 WLR983056:WLR983061 WVN983056:WVN983061 I8:I13 JE8:JE13 TA8:TA13 ACW8:ACW13 AMS8:AMS13 AWO8:AWO13 BGK8:BGK13 BQG8:BQG13 CAC8:CAC13 CJY8:CJY13 CTU8:CTU13 DDQ8:DDQ13 DNM8:DNM13 DXI8:DXI13 EHE8:EHE13 ERA8:ERA13 FAW8:FAW13 FKS8:FKS13 FUO8:FUO13 GEK8:GEK13 GOG8:GOG13 GYC8:GYC13 HHY8:HHY13 HRU8:HRU13 IBQ8:IBQ13 ILM8:ILM13 IVI8:IVI13 JFE8:JFE13 JPA8:JPA13 JYW8:JYW13 KIS8:KIS13 KSO8:KSO13 LCK8:LCK13 LMG8:LMG13 LWC8:LWC13 MFY8:MFY13 MPU8:MPU13 MZQ8:MZQ13 NJM8:NJM13 NTI8:NTI13 ODE8:ODE13 ONA8:ONA13 OWW8:OWW13 PGS8:PGS13 PQO8:PQO13 QAK8:QAK13 QKG8:QKG13 QUC8:QUC13 RDY8:RDY13 RNU8:RNU13 RXQ8:RXQ13 SHM8:SHM13 SRI8:SRI13 TBE8:TBE13 TLA8:TLA13 TUW8:TUW13 UES8:UES13 UOO8:UOO13 UYK8:UYK13 VIG8:VIG13 VSC8:VSC13 WBY8:WBY13 WLU8:WLU13 WVQ8:WVQ13 I65544:I65549 JE65544:JE65549 TA65544:TA65549 ACW65544:ACW65549 AMS65544:AMS65549 AWO65544:AWO65549 BGK65544:BGK65549 BQG65544:BQG65549 CAC65544:CAC65549 CJY65544:CJY65549 CTU65544:CTU65549 DDQ65544:DDQ65549 DNM65544:DNM65549 DXI65544:DXI65549 EHE65544:EHE65549 ERA65544:ERA65549 FAW65544:FAW65549 FKS65544:FKS65549 FUO65544:FUO65549 GEK65544:GEK65549 GOG65544:GOG65549 GYC65544:GYC65549 HHY65544:HHY65549 HRU65544:HRU65549 IBQ65544:IBQ65549 ILM65544:ILM65549 IVI65544:IVI65549 JFE65544:JFE65549 JPA65544:JPA65549 JYW65544:JYW65549 KIS65544:KIS65549 KSO65544:KSO65549 LCK65544:LCK65549 LMG65544:LMG65549 LWC65544:LWC65549 MFY65544:MFY65549 MPU65544:MPU65549 MZQ65544:MZQ65549 NJM65544:NJM65549 NTI65544:NTI65549 ODE65544:ODE65549 ONA65544:ONA65549 OWW65544:OWW65549 PGS65544:PGS65549 PQO65544:PQO65549 QAK65544:QAK65549 QKG65544:QKG65549 QUC65544:QUC65549 RDY65544:RDY65549 RNU65544:RNU65549 RXQ65544:RXQ65549 SHM65544:SHM65549 SRI65544:SRI65549 TBE65544:TBE65549 TLA65544:TLA65549 TUW65544:TUW65549 UES65544:UES65549 UOO65544:UOO65549 UYK65544:UYK65549 VIG65544:VIG65549 VSC65544:VSC65549 WBY65544:WBY65549 WLU65544:WLU65549 WVQ65544:WVQ65549 I131080:I131085 JE131080:JE131085 TA131080:TA131085 ACW131080:ACW131085 AMS131080:AMS131085 AWO131080:AWO131085 BGK131080:BGK131085 BQG131080:BQG131085 CAC131080:CAC131085 CJY131080:CJY131085 CTU131080:CTU131085 DDQ131080:DDQ131085 DNM131080:DNM131085 DXI131080:DXI131085 EHE131080:EHE131085 ERA131080:ERA131085 FAW131080:FAW131085 FKS131080:FKS131085 FUO131080:FUO131085 GEK131080:GEK131085 GOG131080:GOG131085 GYC131080:GYC131085 HHY131080:HHY131085 HRU131080:HRU131085 IBQ131080:IBQ131085 ILM131080:ILM131085 IVI131080:IVI131085 JFE131080:JFE131085 JPA131080:JPA131085 JYW131080:JYW131085 KIS131080:KIS131085 KSO131080:KSO131085 LCK131080:LCK131085 LMG131080:LMG131085 LWC131080:LWC131085 MFY131080:MFY131085 MPU131080:MPU131085 MZQ131080:MZQ131085 NJM131080:NJM131085 NTI131080:NTI131085 ODE131080:ODE131085 ONA131080:ONA131085 OWW131080:OWW131085 PGS131080:PGS131085 PQO131080:PQO131085 QAK131080:QAK131085 QKG131080:QKG131085 QUC131080:QUC131085 RDY131080:RDY131085 RNU131080:RNU131085 RXQ131080:RXQ131085 SHM131080:SHM131085 SRI131080:SRI131085 TBE131080:TBE131085 TLA131080:TLA131085 TUW131080:TUW131085 UES131080:UES131085 UOO131080:UOO131085 UYK131080:UYK131085 VIG131080:VIG131085 VSC131080:VSC131085 WBY131080:WBY131085 WLU131080:WLU131085 WVQ131080:WVQ131085 I196616:I196621 JE196616:JE196621 TA196616:TA196621 ACW196616:ACW196621 AMS196616:AMS196621 AWO196616:AWO196621 BGK196616:BGK196621 BQG196616:BQG196621 CAC196616:CAC196621 CJY196616:CJY196621 CTU196616:CTU196621 DDQ196616:DDQ196621 DNM196616:DNM196621 DXI196616:DXI196621 EHE196616:EHE196621 ERA196616:ERA196621 FAW196616:FAW196621 FKS196616:FKS196621 FUO196616:FUO196621 GEK196616:GEK196621 GOG196616:GOG196621 GYC196616:GYC196621 HHY196616:HHY196621 HRU196616:HRU196621 IBQ196616:IBQ196621 ILM196616:ILM196621 IVI196616:IVI196621 JFE196616:JFE196621 JPA196616:JPA196621 JYW196616:JYW196621 KIS196616:KIS196621 KSO196616:KSO196621 LCK196616:LCK196621 LMG196616:LMG196621 LWC196616:LWC196621 MFY196616:MFY196621 MPU196616:MPU196621 MZQ196616:MZQ196621 NJM196616:NJM196621 NTI196616:NTI196621 ODE196616:ODE196621 ONA196616:ONA196621 OWW196616:OWW196621 PGS196616:PGS196621 PQO196616:PQO196621 QAK196616:QAK196621 QKG196616:QKG196621 QUC196616:QUC196621 RDY196616:RDY196621 RNU196616:RNU196621 RXQ196616:RXQ196621 SHM196616:SHM196621 SRI196616:SRI196621 TBE196616:TBE196621 TLA196616:TLA196621 TUW196616:TUW196621 UES196616:UES196621 UOO196616:UOO196621 UYK196616:UYK196621 VIG196616:VIG196621 VSC196616:VSC196621 WBY196616:WBY196621 WLU196616:WLU196621 WVQ196616:WVQ196621 I262152:I262157 JE262152:JE262157 TA262152:TA262157 ACW262152:ACW262157 AMS262152:AMS262157 AWO262152:AWO262157 BGK262152:BGK262157 BQG262152:BQG262157 CAC262152:CAC262157 CJY262152:CJY262157 CTU262152:CTU262157 DDQ262152:DDQ262157 DNM262152:DNM262157 DXI262152:DXI262157 EHE262152:EHE262157 ERA262152:ERA262157 FAW262152:FAW262157 FKS262152:FKS262157 FUO262152:FUO262157 GEK262152:GEK262157 GOG262152:GOG262157 GYC262152:GYC262157 HHY262152:HHY262157 HRU262152:HRU262157 IBQ262152:IBQ262157 ILM262152:ILM262157 IVI262152:IVI262157 JFE262152:JFE262157 JPA262152:JPA262157 JYW262152:JYW262157 KIS262152:KIS262157 KSO262152:KSO262157 LCK262152:LCK262157 LMG262152:LMG262157 LWC262152:LWC262157 MFY262152:MFY262157 MPU262152:MPU262157 MZQ262152:MZQ262157 NJM262152:NJM262157 NTI262152:NTI262157 ODE262152:ODE262157 ONA262152:ONA262157 OWW262152:OWW262157 PGS262152:PGS262157 PQO262152:PQO262157 QAK262152:QAK262157 QKG262152:QKG262157 QUC262152:QUC262157 RDY262152:RDY262157 RNU262152:RNU262157 RXQ262152:RXQ262157 SHM262152:SHM262157 SRI262152:SRI262157 TBE262152:TBE262157 TLA262152:TLA262157 TUW262152:TUW262157 UES262152:UES262157 UOO262152:UOO262157 UYK262152:UYK262157 VIG262152:VIG262157 VSC262152:VSC262157 WBY262152:WBY262157 WLU262152:WLU262157 WVQ262152:WVQ262157 I327688:I327693 JE327688:JE327693 TA327688:TA327693 ACW327688:ACW327693 AMS327688:AMS327693 AWO327688:AWO327693 BGK327688:BGK327693 BQG327688:BQG327693 CAC327688:CAC327693 CJY327688:CJY327693 CTU327688:CTU327693 DDQ327688:DDQ327693 DNM327688:DNM327693 DXI327688:DXI327693 EHE327688:EHE327693 ERA327688:ERA327693 FAW327688:FAW327693 FKS327688:FKS327693 FUO327688:FUO327693 GEK327688:GEK327693 GOG327688:GOG327693 GYC327688:GYC327693 HHY327688:HHY327693 HRU327688:HRU327693 IBQ327688:IBQ327693 ILM327688:ILM327693 IVI327688:IVI327693 JFE327688:JFE327693 JPA327688:JPA327693 JYW327688:JYW327693 KIS327688:KIS327693 KSO327688:KSO327693 LCK327688:LCK327693 LMG327688:LMG327693 LWC327688:LWC327693 MFY327688:MFY327693 MPU327688:MPU327693 MZQ327688:MZQ327693 NJM327688:NJM327693 NTI327688:NTI327693 ODE327688:ODE327693 ONA327688:ONA327693 OWW327688:OWW327693 PGS327688:PGS327693 PQO327688:PQO327693 QAK327688:QAK327693 QKG327688:QKG327693 QUC327688:QUC327693 RDY327688:RDY327693 RNU327688:RNU327693 RXQ327688:RXQ327693 SHM327688:SHM327693 SRI327688:SRI327693 TBE327688:TBE327693 TLA327688:TLA327693 TUW327688:TUW327693 UES327688:UES327693 UOO327688:UOO327693 UYK327688:UYK327693 VIG327688:VIG327693 VSC327688:VSC327693 WBY327688:WBY327693 WLU327688:WLU327693 WVQ327688:WVQ327693 I393224:I393229 JE393224:JE393229 TA393224:TA393229 ACW393224:ACW393229 AMS393224:AMS393229 AWO393224:AWO393229 BGK393224:BGK393229 BQG393224:BQG393229 CAC393224:CAC393229 CJY393224:CJY393229 CTU393224:CTU393229 DDQ393224:DDQ393229 DNM393224:DNM393229 DXI393224:DXI393229 EHE393224:EHE393229 ERA393224:ERA393229 FAW393224:FAW393229 FKS393224:FKS393229 FUO393224:FUO393229 GEK393224:GEK393229 GOG393224:GOG393229 GYC393224:GYC393229 HHY393224:HHY393229 HRU393224:HRU393229 IBQ393224:IBQ393229 ILM393224:ILM393229 IVI393224:IVI393229 JFE393224:JFE393229 JPA393224:JPA393229 JYW393224:JYW393229 KIS393224:KIS393229 KSO393224:KSO393229 LCK393224:LCK393229 LMG393224:LMG393229 LWC393224:LWC393229 MFY393224:MFY393229 MPU393224:MPU393229 MZQ393224:MZQ393229 NJM393224:NJM393229 NTI393224:NTI393229 ODE393224:ODE393229 ONA393224:ONA393229 OWW393224:OWW393229 PGS393224:PGS393229 PQO393224:PQO393229 QAK393224:QAK393229 QKG393224:QKG393229 QUC393224:QUC393229 RDY393224:RDY393229 RNU393224:RNU393229 RXQ393224:RXQ393229 SHM393224:SHM393229 SRI393224:SRI393229 TBE393224:TBE393229 TLA393224:TLA393229 TUW393224:TUW393229 UES393224:UES393229 UOO393224:UOO393229 UYK393224:UYK393229 VIG393224:VIG393229 VSC393224:VSC393229 WBY393224:WBY393229 WLU393224:WLU393229 WVQ393224:WVQ393229 I458760:I458765 JE458760:JE458765 TA458760:TA458765 ACW458760:ACW458765 AMS458760:AMS458765 AWO458760:AWO458765 BGK458760:BGK458765 BQG458760:BQG458765 CAC458760:CAC458765 CJY458760:CJY458765 CTU458760:CTU458765 DDQ458760:DDQ458765 DNM458760:DNM458765 DXI458760:DXI458765 EHE458760:EHE458765 ERA458760:ERA458765 FAW458760:FAW458765 FKS458760:FKS458765 FUO458760:FUO458765 GEK458760:GEK458765 GOG458760:GOG458765 GYC458760:GYC458765 HHY458760:HHY458765 HRU458760:HRU458765 IBQ458760:IBQ458765 ILM458760:ILM458765 IVI458760:IVI458765 JFE458760:JFE458765 JPA458760:JPA458765 JYW458760:JYW458765 KIS458760:KIS458765 KSO458760:KSO458765 LCK458760:LCK458765 LMG458760:LMG458765 LWC458760:LWC458765 MFY458760:MFY458765 MPU458760:MPU458765 MZQ458760:MZQ458765 NJM458760:NJM458765 NTI458760:NTI458765 ODE458760:ODE458765 ONA458760:ONA458765 OWW458760:OWW458765 PGS458760:PGS458765 PQO458760:PQO458765 QAK458760:QAK458765 QKG458760:QKG458765 QUC458760:QUC458765 RDY458760:RDY458765 RNU458760:RNU458765 RXQ458760:RXQ458765 SHM458760:SHM458765 SRI458760:SRI458765 TBE458760:TBE458765 TLA458760:TLA458765 TUW458760:TUW458765 UES458760:UES458765 UOO458760:UOO458765 UYK458760:UYK458765 VIG458760:VIG458765 VSC458760:VSC458765 WBY458760:WBY458765 WLU458760:WLU458765 WVQ458760:WVQ458765 I524296:I524301 JE524296:JE524301 TA524296:TA524301 ACW524296:ACW524301 AMS524296:AMS524301 AWO524296:AWO524301 BGK524296:BGK524301 BQG524296:BQG524301 CAC524296:CAC524301 CJY524296:CJY524301 CTU524296:CTU524301 DDQ524296:DDQ524301 DNM524296:DNM524301 DXI524296:DXI524301 EHE524296:EHE524301 ERA524296:ERA524301 FAW524296:FAW524301 FKS524296:FKS524301 FUO524296:FUO524301 GEK524296:GEK524301 GOG524296:GOG524301 GYC524296:GYC524301 HHY524296:HHY524301 HRU524296:HRU524301 IBQ524296:IBQ524301 ILM524296:ILM524301 IVI524296:IVI524301 JFE524296:JFE524301 JPA524296:JPA524301 JYW524296:JYW524301 KIS524296:KIS524301 KSO524296:KSO524301 LCK524296:LCK524301 LMG524296:LMG524301 LWC524296:LWC524301 MFY524296:MFY524301 MPU524296:MPU524301 MZQ524296:MZQ524301 NJM524296:NJM524301 NTI524296:NTI524301 ODE524296:ODE524301 ONA524296:ONA524301 OWW524296:OWW524301 PGS524296:PGS524301 PQO524296:PQO524301 QAK524296:QAK524301 QKG524296:QKG524301 QUC524296:QUC524301 RDY524296:RDY524301 RNU524296:RNU524301 RXQ524296:RXQ524301 SHM524296:SHM524301 SRI524296:SRI524301 TBE524296:TBE524301 TLA524296:TLA524301 TUW524296:TUW524301 UES524296:UES524301 UOO524296:UOO524301 UYK524296:UYK524301 VIG524296:VIG524301 VSC524296:VSC524301 WBY524296:WBY524301 WLU524296:WLU524301 WVQ524296:WVQ524301 I589832:I589837 JE589832:JE589837 TA589832:TA589837 ACW589832:ACW589837 AMS589832:AMS589837 AWO589832:AWO589837 BGK589832:BGK589837 BQG589832:BQG589837 CAC589832:CAC589837 CJY589832:CJY589837 CTU589832:CTU589837 DDQ589832:DDQ589837 DNM589832:DNM589837 DXI589832:DXI589837 EHE589832:EHE589837 ERA589832:ERA589837 FAW589832:FAW589837 FKS589832:FKS589837 FUO589832:FUO589837 GEK589832:GEK589837 GOG589832:GOG589837 GYC589832:GYC589837 HHY589832:HHY589837 HRU589832:HRU589837 IBQ589832:IBQ589837 ILM589832:ILM589837 IVI589832:IVI589837 JFE589832:JFE589837 JPA589832:JPA589837 JYW589832:JYW589837 KIS589832:KIS589837 KSO589832:KSO589837 LCK589832:LCK589837 LMG589832:LMG589837 LWC589832:LWC589837 MFY589832:MFY589837 MPU589832:MPU589837 MZQ589832:MZQ589837 NJM589832:NJM589837 NTI589832:NTI589837 ODE589832:ODE589837 ONA589832:ONA589837 OWW589832:OWW589837 PGS589832:PGS589837 PQO589832:PQO589837 QAK589832:QAK589837 QKG589832:QKG589837 QUC589832:QUC589837 RDY589832:RDY589837 RNU589832:RNU589837 RXQ589832:RXQ589837 SHM589832:SHM589837 SRI589832:SRI589837 TBE589832:TBE589837 TLA589832:TLA589837 TUW589832:TUW589837 UES589832:UES589837 UOO589832:UOO589837 UYK589832:UYK589837 VIG589832:VIG589837 VSC589832:VSC589837 WBY589832:WBY589837 WLU589832:WLU589837 WVQ589832:WVQ589837 I655368:I655373 JE655368:JE655373 TA655368:TA655373 ACW655368:ACW655373 AMS655368:AMS655373 AWO655368:AWO655373 BGK655368:BGK655373 BQG655368:BQG655373 CAC655368:CAC655373 CJY655368:CJY655373 CTU655368:CTU655373 DDQ655368:DDQ655373 DNM655368:DNM655373 DXI655368:DXI655373 EHE655368:EHE655373 ERA655368:ERA655373 FAW655368:FAW655373 FKS655368:FKS655373 FUO655368:FUO655373 GEK655368:GEK655373 GOG655368:GOG655373 GYC655368:GYC655373 HHY655368:HHY655373 HRU655368:HRU655373 IBQ655368:IBQ655373 ILM655368:ILM655373 IVI655368:IVI655373 JFE655368:JFE655373 JPA655368:JPA655373 JYW655368:JYW655373 KIS655368:KIS655373 KSO655368:KSO655373 LCK655368:LCK655373 LMG655368:LMG655373 LWC655368:LWC655373 MFY655368:MFY655373 MPU655368:MPU655373 MZQ655368:MZQ655373 NJM655368:NJM655373 NTI655368:NTI655373 ODE655368:ODE655373 ONA655368:ONA655373 OWW655368:OWW655373 PGS655368:PGS655373 PQO655368:PQO655373 QAK655368:QAK655373 QKG655368:QKG655373 QUC655368:QUC655373 RDY655368:RDY655373 RNU655368:RNU655373 RXQ655368:RXQ655373 SHM655368:SHM655373 SRI655368:SRI655373 TBE655368:TBE655373 TLA655368:TLA655373 TUW655368:TUW655373 UES655368:UES655373 UOO655368:UOO655373 UYK655368:UYK655373 VIG655368:VIG655373 VSC655368:VSC655373 WBY655368:WBY655373 WLU655368:WLU655373 WVQ655368:WVQ655373 I720904:I720909 JE720904:JE720909 TA720904:TA720909 ACW720904:ACW720909 AMS720904:AMS720909 AWO720904:AWO720909 BGK720904:BGK720909 BQG720904:BQG720909 CAC720904:CAC720909 CJY720904:CJY720909 CTU720904:CTU720909 DDQ720904:DDQ720909 DNM720904:DNM720909 DXI720904:DXI720909 EHE720904:EHE720909 ERA720904:ERA720909 FAW720904:FAW720909 FKS720904:FKS720909 FUO720904:FUO720909 GEK720904:GEK720909 GOG720904:GOG720909 GYC720904:GYC720909 HHY720904:HHY720909 HRU720904:HRU720909 IBQ720904:IBQ720909 ILM720904:ILM720909 IVI720904:IVI720909 JFE720904:JFE720909 JPA720904:JPA720909 JYW720904:JYW720909 KIS720904:KIS720909 KSO720904:KSO720909 LCK720904:LCK720909 LMG720904:LMG720909 LWC720904:LWC720909 MFY720904:MFY720909 MPU720904:MPU720909 MZQ720904:MZQ720909 NJM720904:NJM720909 NTI720904:NTI720909 ODE720904:ODE720909 ONA720904:ONA720909 OWW720904:OWW720909 PGS720904:PGS720909 PQO720904:PQO720909 QAK720904:QAK720909 QKG720904:QKG720909 QUC720904:QUC720909 RDY720904:RDY720909 RNU720904:RNU720909 RXQ720904:RXQ720909 SHM720904:SHM720909 SRI720904:SRI720909 TBE720904:TBE720909 TLA720904:TLA720909 TUW720904:TUW720909 UES720904:UES720909 UOO720904:UOO720909 UYK720904:UYK720909 VIG720904:VIG720909 VSC720904:VSC720909 WBY720904:WBY720909 WLU720904:WLU720909 WVQ720904:WVQ720909 I786440:I786445 JE786440:JE786445 TA786440:TA786445 ACW786440:ACW786445 AMS786440:AMS786445 AWO786440:AWO786445 BGK786440:BGK786445 BQG786440:BQG786445 CAC786440:CAC786445 CJY786440:CJY786445 CTU786440:CTU786445 DDQ786440:DDQ786445 DNM786440:DNM786445 DXI786440:DXI786445 EHE786440:EHE786445 ERA786440:ERA786445 FAW786440:FAW786445 FKS786440:FKS786445 FUO786440:FUO786445 GEK786440:GEK786445 GOG786440:GOG786445 GYC786440:GYC786445 HHY786440:HHY786445 HRU786440:HRU786445 IBQ786440:IBQ786445 ILM786440:ILM786445 IVI786440:IVI786445 JFE786440:JFE786445 JPA786440:JPA786445 JYW786440:JYW786445 KIS786440:KIS786445 KSO786440:KSO786445 LCK786440:LCK786445 LMG786440:LMG786445 LWC786440:LWC786445 MFY786440:MFY786445 MPU786440:MPU786445 MZQ786440:MZQ786445 NJM786440:NJM786445 NTI786440:NTI786445 ODE786440:ODE786445 ONA786440:ONA786445 OWW786440:OWW786445 PGS786440:PGS786445 PQO786440:PQO786445 QAK786440:QAK786445 QKG786440:QKG786445 QUC786440:QUC786445 RDY786440:RDY786445 RNU786440:RNU786445 RXQ786440:RXQ786445 SHM786440:SHM786445 SRI786440:SRI786445 TBE786440:TBE786445 TLA786440:TLA786445 TUW786440:TUW786445 UES786440:UES786445 UOO786440:UOO786445 UYK786440:UYK786445 VIG786440:VIG786445 VSC786440:VSC786445 WBY786440:WBY786445 WLU786440:WLU786445 WVQ786440:WVQ786445 I851976:I851981 JE851976:JE851981 TA851976:TA851981 ACW851976:ACW851981 AMS851976:AMS851981 AWO851976:AWO851981 BGK851976:BGK851981 BQG851976:BQG851981 CAC851976:CAC851981 CJY851976:CJY851981 CTU851976:CTU851981 DDQ851976:DDQ851981 DNM851976:DNM851981 DXI851976:DXI851981 EHE851976:EHE851981 ERA851976:ERA851981 FAW851976:FAW851981 FKS851976:FKS851981 FUO851976:FUO851981 GEK851976:GEK851981 GOG851976:GOG851981 GYC851976:GYC851981 HHY851976:HHY851981 HRU851976:HRU851981 IBQ851976:IBQ851981 ILM851976:ILM851981 IVI851976:IVI851981 JFE851976:JFE851981 JPA851976:JPA851981 JYW851976:JYW851981 KIS851976:KIS851981 KSO851976:KSO851981 LCK851976:LCK851981 LMG851976:LMG851981 LWC851976:LWC851981 MFY851976:MFY851981 MPU851976:MPU851981 MZQ851976:MZQ851981 NJM851976:NJM851981 NTI851976:NTI851981 ODE851976:ODE851981 ONA851976:ONA851981 OWW851976:OWW851981 PGS851976:PGS851981 PQO851976:PQO851981 QAK851976:QAK851981 QKG851976:QKG851981 QUC851976:QUC851981 RDY851976:RDY851981 RNU851976:RNU851981 RXQ851976:RXQ851981 SHM851976:SHM851981 SRI851976:SRI851981 TBE851976:TBE851981 TLA851976:TLA851981 TUW851976:TUW851981 UES851976:UES851981 UOO851976:UOO851981 UYK851976:UYK851981 VIG851976:VIG851981 VSC851976:VSC851981 WBY851976:WBY851981 WLU851976:WLU851981 WVQ851976:WVQ851981 I917512:I917517 JE917512:JE917517 TA917512:TA917517 ACW917512:ACW917517 AMS917512:AMS917517 AWO917512:AWO917517 BGK917512:BGK917517 BQG917512:BQG917517 CAC917512:CAC917517 CJY917512:CJY917517 CTU917512:CTU917517 DDQ917512:DDQ917517 DNM917512:DNM917517 DXI917512:DXI917517 EHE917512:EHE917517 ERA917512:ERA917517 FAW917512:FAW917517 FKS917512:FKS917517 FUO917512:FUO917517 GEK917512:GEK917517 GOG917512:GOG917517 GYC917512:GYC917517 HHY917512:HHY917517 HRU917512:HRU917517 IBQ917512:IBQ917517 ILM917512:ILM917517 IVI917512:IVI917517 JFE917512:JFE917517 JPA917512:JPA917517 JYW917512:JYW917517 KIS917512:KIS917517 KSO917512:KSO917517 LCK917512:LCK917517 LMG917512:LMG917517 LWC917512:LWC917517 MFY917512:MFY917517 MPU917512:MPU917517 MZQ917512:MZQ917517 NJM917512:NJM917517 NTI917512:NTI917517 ODE917512:ODE917517 ONA917512:ONA917517 OWW917512:OWW917517 PGS917512:PGS917517 PQO917512:PQO917517 QAK917512:QAK917517 QKG917512:QKG917517 QUC917512:QUC917517 RDY917512:RDY917517 RNU917512:RNU917517 RXQ917512:RXQ917517 SHM917512:SHM917517 SRI917512:SRI917517 TBE917512:TBE917517 TLA917512:TLA917517 TUW917512:TUW917517 UES917512:UES917517 UOO917512:UOO917517 UYK917512:UYK917517 VIG917512:VIG917517 VSC917512:VSC917517 WBY917512:WBY917517 WLU917512:WLU917517 WVQ917512:WVQ917517 I983048:I983053 JE983048:JE983053 TA983048:TA983053 ACW983048:ACW983053 AMS983048:AMS983053 AWO983048:AWO983053 BGK983048:BGK983053 BQG983048:BQG983053 CAC983048:CAC983053 CJY983048:CJY983053 CTU983048:CTU983053 DDQ983048:DDQ983053 DNM983048:DNM983053 DXI983048:DXI983053 EHE983048:EHE983053 ERA983048:ERA983053 FAW983048:FAW983053 FKS983048:FKS983053 FUO983048:FUO983053 GEK983048:GEK983053 GOG983048:GOG983053 GYC983048:GYC983053 HHY983048:HHY983053 HRU983048:HRU983053 IBQ983048:IBQ983053 ILM983048:ILM983053 IVI983048:IVI983053 JFE983048:JFE983053 JPA983048:JPA983053 JYW983048:JYW983053 KIS983048:KIS983053 KSO983048:KSO983053 LCK983048:LCK983053 LMG983048:LMG983053 LWC983048:LWC983053 MFY983048:MFY983053 MPU983048:MPU983053 MZQ983048:MZQ983053 NJM983048:NJM983053 NTI983048:NTI983053 ODE983048:ODE983053 ONA983048:ONA983053 OWW983048:OWW983053 PGS983048:PGS983053 PQO983048:PQO983053 QAK983048:QAK983053 QKG983048:QKG983053 QUC983048:QUC983053 RDY983048:RDY983053 RNU983048:RNU983053 RXQ983048:RXQ983053 SHM983048:SHM983053 SRI983048:SRI983053 TBE983048:TBE983053 TLA983048:TLA983053 TUW983048:TUW983053 UES983048:UES983053 UOO983048:UOO983053 UYK983048:UYK983053 VIG983048:VIG983053 VSC983048:VSC983053 WBY983048:WBY983053 WLU983048:WLU983053 WVQ983048:WVQ983053</xm:sqref>
        </x14:dataValidation>
        <x14:dataValidation type="whole" showInputMessage="1" showErrorMessage="1" xr:uid="{00000000-0002-0000-0000-000001000000}">
          <x14:formula1>
            <xm:f>0</xm:f>
          </x14:formula1>
          <x14:formula2>
            <xm:f>33</xm:f>
          </x14:formula2>
          <xm:sqref>F112:I112 JB112:JE112 SX112:TA112 ACT112:ACW112 AMP112:AMS112 AWL112:AWO112 BGH112:BGK112 BQD112:BQG112 BZZ112:CAC112 CJV112:CJY112 CTR112:CTU112 DDN112:DDQ112 DNJ112:DNM112 DXF112:DXI112 EHB112:EHE112 EQX112:ERA112 FAT112:FAW112 FKP112:FKS112 FUL112:FUO112 GEH112:GEK112 GOD112:GOG112 GXZ112:GYC112 HHV112:HHY112 HRR112:HRU112 IBN112:IBQ112 ILJ112:ILM112 IVF112:IVI112 JFB112:JFE112 JOX112:JPA112 JYT112:JYW112 KIP112:KIS112 KSL112:KSO112 LCH112:LCK112 LMD112:LMG112 LVZ112:LWC112 MFV112:MFY112 MPR112:MPU112 MZN112:MZQ112 NJJ112:NJM112 NTF112:NTI112 ODB112:ODE112 OMX112:ONA112 OWT112:OWW112 PGP112:PGS112 PQL112:PQO112 QAH112:QAK112 QKD112:QKG112 QTZ112:QUC112 RDV112:RDY112 RNR112:RNU112 RXN112:RXQ112 SHJ112:SHM112 SRF112:SRI112 TBB112:TBE112 TKX112:TLA112 TUT112:TUW112 UEP112:UES112 UOL112:UOO112 UYH112:UYK112 VID112:VIG112 VRZ112:VSC112 WBV112:WBY112 WLR112:WLU112 WVN112:WVQ112 F65648:I65648 JB65648:JE65648 SX65648:TA65648 ACT65648:ACW65648 AMP65648:AMS65648 AWL65648:AWO65648 BGH65648:BGK65648 BQD65648:BQG65648 BZZ65648:CAC65648 CJV65648:CJY65648 CTR65648:CTU65648 DDN65648:DDQ65648 DNJ65648:DNM65648 DXF65648:DXI65648 EHB65648:EHE65648 EQX65648:ERA65648 FAT65648:FAW65648 FKP65648:FKS65648 FUL65648:FUO65648 GEH65648:GEK65648 GOD65648:GOG65648 GXZ65648:GYC65648 HHV65648:HHY65648 HRR65648:HRU65648 IBN65648:IBQ65648 ILJ65648:ILM65648 IVF65648:IVI65648 JFB65648:JFE65648 JOX65648:JPA65648 JYT65648:JYW65648 KIP65648:KIS65648 KSL65648:KSO65648 LCH65648:LCK65648 LMD65648:LMG65648 LVZ65648:LWC65648 MFV65648:MFY65648 MPR65648:MPU65648 MZN65648:MZQ65648 NJJ65648:NJM65648 NTF65648:NTI65648 ODB65648:ODE65648 OMX65648:ONA65648 OWT65648:OWW65648 PGP65648:PGS65648 PQL65648:PQO65648 QAH65648:QAK65648 QKD65648:QKG65648 QTZ65648:QUC65648 RDV65648:RDY65648 RNR65648:RNU65648 RXN65648:RXQ65648 SHJ65648:SHM65648 SRF65648:SRI65648 TBB65648:TBE65648 TKX65648:TLA65648 TUT65648:TUW65648 UEP65648:UES65648 UOL65648:UOO65648 UYH65648:UYK65648 VID65648:VIG65648 VRZ65648:VSC65648 WBV65648:WBY65648 WLR65648:WLU65648 WVN65648:WVQ65648 F131184:I131184 JB131184:JE131184 SX131184:TA131184 ACT131184:ACW131184 AMP131184:AMS131184 AWL131184:AWO131184 BGH131184:BGK131184 BQD131184:BQG131184 BZZ131184:CAC131184 CJV131184:CJY131184 CTR131184:CTU131184 DDN131184:DDQ131184 DNJ131184:DNM131184 DXF131184:DXI131184 EHB131184:EHE131184 EQX131184:ERA131184 FAT131184:FAW131184 FKP131184:FKS131184 FUL131184:FUO131184 GEH131184:GEK131184 GOD131184:GOG131184 GXZ131184:GYC131184 HHV131184:HHY131184 HRR131184:HRU131184 IBN131184:IBQ131184 ILJ131184:ILM131184 IVF131184:IVI131184 JFB131184:JFE131184 JOX131184:JPA131184 JYT131184:JYW131184 KIP131184:KIS131184 KSL131184:KSO131184 LCH131184:LCK131184 LMD131184:LMG131184 LVZ131184:LWC131184 MFV131184:MFY131184 MPR131184:MPU131184 MZN131184:MZQ131184 NJJ131184:NJM131184 NTF131184:NTI131184 ODB131184:ODE131184 OMX131184:ONA131184 OWT131184:OWW131184 PGP131184:PGS131184 PQL131184:PQO131184 QAH131184:QAK131184 QKD131184:QKG131184 QTZ131184:QUC131184 RDV131184:RDY131184 RNR131184:RNU131184 RXN131184:RXQ131184 SHJ131184:SHM131184 SRF131184:SRI131184 TBB131184:TBE131184 TKX131184:TLA131184 TUT131184:TUW131184 UEP131184:UES131184 UOL131184:UOO131184 UYH131184:UYK131184 VID131184:VIG131184 VRZ131184:VSC131184 WBV131184:WBY131184 WLR131184:WLU131184 WVN131184:WVQ131184 F196720:I196720 JB196720:JE196720 SX196720:TA196720 ACT196720:ACW196720 AMP196720:AMS196720 AWL196720:AWO196720 BGH196720:BGK196720 BQD196720:BQG196720 BZZ196720:CAC196720 CJV196720:CJY196720 CTR196720:CTU196720 DDN196720:DDQ196720 DNJ196720:DNM196720 DXF196720:DXI196720 EHB196720:EHE196720 EQX196720:ERA196720 FAT196720:FAW196720 FKP196720:FKS196720 FUL196720:FUO196720 GEH196720:GEK196720 GOD196720:GOG196720 GXZ196720:GYC196720 HHV196720:HHY196720 HRR196720:HRU196720 IBN196720:IBQ196720 ILJ196720:ILM196720 IVF196720:IVI196720 JFB196720:JFE196720 JOX196720:JPA196720 JYT196720:JYW196720 KIP196720:KIS196720 KSL196720:KSO196720 LCH196720:LCK196720 LMD196720:LMG196720 LVZ196720:LWC196720 MFV196720:MFY196720 MPR196720:MPU196720 MZN196720:MZQ196720 NJJ196720:NJM196720 NTF196720:NTI196720 ODB196720:ODE196720 OMX196720:ONA196720 OWT196720:OWW196720 PGP196720:PGS196720 PQL196720:PQO196720 QAH196720:QAK196720 QKD196720:QKG196720 QTZ196720:QUC196720 RDV196720:RDY196720 RNR196720:RNU196720 RXN196720:RXQ196720 SHJ196720:SHM196720 SRF196720:SRI196720 TBB196720:TBE196720 TKX196720:TLA196720 TUT196720:TUW196720 UEP196720:UES196720 UOL196720:UOO196720 UYH196720:UYK196720 VID196720:VIG196720 VRZ196720:VSC196720 WBV196720:WBY196720 WLR196720:WLU196720 WVN196720:WVQ196720 F262256:I262256 JB262256:JE262256 SX262256:TA262256 ACT262256:ACW262256 AMP262256:AMS262256 AWL262256:AWO262256 BGH262256:BGK262256 BQD262256:BQG262256 BZZ262256:CAC262256 CJV262256:CJY262256 CTR262256:CTU262256 DDN262256:DDQ262256 DNJ262256:DNM262256 DXF262256:DXI262256 EHB262256:EHE262256 EQX262256:ERA262256 FAT262256:FAW262256 FKP262256:FKS262256 FUL262256:FUO262256 GEH262256:GEK262256 GOD262256:GOG262256 GXZ262256:GYC262256 HHV262256:HHY262256 HRR262256:HRU262256 IBN262256:IBQ262256 ILJ262256:ILM262256 IVF262256:IVI262256 JFB262256:JFE262256 JOX262256:JPA262256 JYT262256:JYW262256 KIP262256:KIS262256 KSL262256:KSO262256 LCH262256:LCK262256 LMD262256:LMG262256 LVZ262256:LWC262256 MFV262256:MFY262256 MPR262256:MPU262256 MZN262256:MZQ262256 NJJ262256:NJM262256 NTF262256:NTI262256 ODB262256:ODE262256 OMX262256:ONA262256 OWT262256:OWW262256 PGP262256:PGS262256 PQL262256:PQO262256 QAH262256:QAK262256 QKD262256:QKG262256 QTZ262256:QUC262256 RDV262256:RDY262256 RNR262256:RNU262256 RXN262256:RXQ262256 SHJ262256:SHM262256 SRF262256:SRI262256 TBB262256:TBE262256 TKX262256:TLA262256 TUT262256:TUW262256 UEP262256:UES262256 UOL262256:UOO262256 UYH262256:UYK262256 VID262256:VIG262256 VRZ262256:VSC262256 WBV262256:WBY262256 WLR262256:WLU262256 WVN262256:WVQ262256 F327792:I327792 JB327792:JE327792 SX327792:TA327792 ACT327792:ACW327792 AMP327792:AMS327792 AWL327792:AWO327792 BGH327792:BGK327792 BQD327792:BQG327792 BZZ327792:CAC327792 CJV327792:CJY327792 CTR327792:CTU327792 DDN327792:DDQ327792 DNJ327792:DNM327792 DXF327792:DXI327792 EHB327792:EHE327792 EQX327792:ERA327792 FAT327792:FAW327792 FKP327792:FKS327792 FUL327792:FUO327792 GEH327792:GEK327792 GOD327792:GOG327792 GXZ327792:GYC327792 HHV327792:HHY327792 HRR327792:HRU327792 IBN327792:IBQ327792 ILJ327792:ILM327792 IVF327792:IVI327792 JFB327792:JFE327792 JOX327792:JPA327792 JYT327792:JYW327792 KIP327792:KIS327792 KSL327792:KSO327792 LCH327792:LCK327792 LMD327792:LMG327792 LVZ327792:LWC327792 MFV327792:MFY327792 MPR327792:MPU327792 MZN327792:MZQ327792 NJJ327792:NJM327792 NTF327792:NTI327792 ODB327792:ODE327792 OMX327792:ONA327792 OWT327792:OWW327792 PGP327792:PGS327792 PQL327792:PQO327792 QAH327792:QAK327792 QKD327792:QKG327792 QTZ327792:QUC327792 RDV327792:RDY327792 RNR327792:RNU327792 RXN327792:RXQ327792 SHJ327792:SHM327792 SRF327792:SRI327792 TBB327792:TBE327792 TKX327792:TLA327792 TUT327792:TUW327792 UEP327792:UES327792 UOL327792:UOO327792 UYH327792:UYK327792 VID327792:VIG327792 VRZ327792:VSC327792 WBV327792:WBY327792 WLR327792:WLU327792 WVN327792:WVQ327792 F393328:I393328 JB393328:JE393328 SX393328:TA393328 ACT393328:ACW393328 AMP393328:AMS393328 AWL393328:AWO393328 BGH393328:BGK393328 BQD393328:BQG393328 BZZ393328:CAC393328 CJV393328:CJY393328 CTR393328:CTU393328 DDN393328:DDQ393328 DNJ393328:DNM393328 DXF393328:DXI393328 EHB393328:EHE393328 EQX393328:ERA393328 FAT393328:FAW393328 FKP393328:FKS393328 FUL393328:FUO393328 GEH393328:GEK393328 GOD393328:GOG393328 GXZ393328:GYC393328 HHV393328:HHY393328 HRR393328:HRU393328 IBN393328:IBQ393328 ILJ393328:ILM393328 IVF393328:IVI393328 JFB393328:JFE393328 JOX393328:JPA393328 JYT393328:JYW393328 KIP393328:KIS393328 KSL393328:KSO393328 LCH393328:LCK393328 LMD393328:LMG393328 LVZ393328:LWC393328 MFV393328:MFY393328 MPR393328:MPU393328 MZN393328:MZQ393328 NJJ393328:NJM393328 NTF393328:NTI393328 ODB393328:ODE393328 OMX393328:ONA393328 OWT393328:OWW393328 PGP393328:PGS393328 PQL393328:PQO393328 QAH393328:QAK393328 QKD393328:QKG393328 QTZ393328:QUC393328 RDV393328:RDY393328 RNR393328:RNU393328 RXN393328:RXQ393328 SHJ393328:SHM393328 SRF393328:SRI393328 TBB393328:TBE393328 TKX393328:TLA393328 TUT393328:TUW393328 UEP393328:UES393328 UOL393328:UOO393328 UYH393328:UYK393328 VID393328:VIG393328 VRZ393328:VSC393328 WBV393328:WBY393328 WLR393328:WLU393328 WVN393328:WVQ393328 F458864:I458864 JB458864:JE458864 SX458864:TA458864 ACT458864:ACW458864 AMP458864:AMS458864 AWL458864:AWO458864 BGH458864:BGK458864 BQD458864:BQG458864 BZZ458864:CAC458864 CJV458864:CJY458864 CTR458864:CTU458864 DDN458864:DDQ458864 DNJ458864:DNM458864 DXF458864:DXI458864 EHB458864:EHE458864 EQX458864:ERA458864 FAT458864:FAW458864 FKP458864:FKS458864 FUL458864:FUO458864 GEH458864:GEK458864 GOD458864:GOG458864 GXZ458864:GYC458864 HHV458864:HHY458864 HRR458864:HRU458864 IBN458864:IBQ458864 ILJ458864:ILM458864 IVF458864:IVI458864 JFB458864:JFE458864 JOX458864:JPA458864 JYT458864:JYW458864 KIP458864:KIS458864 KSL458864:KSO458864 LCH458864:LCK458864 LMD458864:LMG458864 LVZ458864:LWC458864 MFV458864:MFY458864 MPR458864:MPU458864 MZN458864:MZQ458864 NJJ458864:NJM458864 NTF458864:NTI458864 ODB458864:ODE458864 OMX458864:ONA458864 OWT458864:OWW458864 PGP458864:PGS458864 PQL458864:PQO458864 QAH458864:QAK458864 QKD458864:QKG458864 QTZ458864:QUC458864 RDV458864:RDY458864 RNR458864:RNU458864 RXN458864:RXQ458864 SHJ458864:SHM458864 SRF458864:SRI458864 TBB458864:TBE458864 TKX458864:TLA458864 TUT458864:TUW458864 UEP458864:UES458864 UOL458864:UOO458864 UYH458864:UYK458864 VID458864:VIG458864 VRZ458864:VSC458864 WBV458864:WBY458864 WLR458864:WLU458864 WVN458864:WVQ458864 F524400:I524400 JB524400:JE524400 SX524400:TA524400 ACT524400:ACW524400 AMP524400:AMS524400 AWL524400:AWO524400 BGH524400:BGK524400 BQD524400:BQG524400 BZZ524400:CAC524400 CJV524400:CJY524400 CTR524400:CTU524400 DDN524400:DDQ524400 DNJ524400:DNM524400 DXF524400:DXI524400 EHB524400:EHE524400 EQX524400:ERA524400 FAT524400:FAW524400 FKP524400:FKS524400 FUL524400:FUO524400 GEH524400:GEK524400 GOD524400:GOG524400 GXZ524400:GYC524400 HHV524400:HHY524400 HRR524400:HRU524400 IBN524400:IBQ524400 ILJ524400:ILM524400 IVF524400:IVI524400 JFB524400:JFE524400 JOX524400:JPA524400 JYT524400:JYW524400 KIP524400:KIS524400 KSL524400:KSO524400 LCH524400:LCK524400 LMD524400:LMG524400 LVZ524400:LWC524400 MFV524400:MFY524400 MPR524400:MPU524400 MZN524400:MZQ524400 NJJ524400:NJM524400 NTF524400:NTI524400 ODB524400:ODE524400 OMX524400:ONA524400 OWT524400:OWW524400 PGP524400:PGS524400 PQL524400:PQO524400 QAH524400:QAK524400 QKD524400:QKG524400 QTZ524400:QUC524400 RDV524400:RDY524400 RNR524400:RNU524400 RXN524400:RXQ524400 SHJ524400:SHM524400 SRF524400:SRI524400 TBB524400:TBE524400 TKX524400:TLA524400 TUT524400:TUW524400 UEP524400:UES524400 UOL524400:UOO524400 UYH524400:UYK524400 VID524400:VIG524400 VRZ524400:VSC524400 WBV524400:WBY524400 WLR524400:WLU524400 WVN524400:WVQ524400 F589936:I589936 JB589936:JE589936 SX589936:TA589936 ACT589936:ACW589936 AMP589936:AMS589936 AWL589936:AWO589936 BGH589936:BGK589936 BQD589936:BQG589936 BZZ589936:CAC589936 CJV589936:CJY589936 CTR589936:CTU589936 DDN589936:DDQ589936 DNJ589936:DNM589936 DXF589936:DXI589936 EHB589936:EHE589936 EQX589936:ERA589936 FAT589936:FAW589936 FKP589936:FKS589936 FUL589936:FUO589936 GEH589936:GEK589936 GOD589936:GOG589936 GXZ589936:GYC589936 HHV589936:HHY589936 HRR589936:HRU589936 IBN589936:IBQ589936 ILJ589936:ILM589936 IVF589936:IVI589936 JFB589936:JFE589936 JOX589936:JPA589936 JYT589936:JYW589936 KIP589936:KIS589936 KSL589936:KSO589936 LCH589936:LCK589936 LMD589936:LMG589936 LVZ589936:LWC589936 MFV589936:MFY589936 MPR589936:MPU589936 MZN589936:MZQ589936 NJJ589936:NJM589936 NTF589936:NTI589936 ODB589936:ODE589936 OMX589936:ONA589936 OWT589936:OWW589936 PGP589936:PGS589936 PQL589936:PQO589936 QAH589936:QAK589936 QKD589936:QKG589936 QTZ589936:QUC589936 RDV589936:RDY589936 RNR589936:RNU589936 RXN589936:RXQ589936 SHJ589936:SHM589936 SRF589936:SRI589936 TBB589936:TBE589936 TKX589936:TLA589936 TUT589936:TUW589936 UEP589936:UES589936 UOL589936:UOO589936 UYH589936:UYK589936 VID589936:VIG589936 VRZ589936:VSC589936 WBV589936:WBY589936 WLR589936:WLU589936 WVN589936:WVQ589936 F655472:I655472 JB655472:JE655472 SX655472:TA655472 ACT655472:ACW655472 AMP655472:AMS655472 AWL655472:AWO655472 BGH655472:BGK655472 BQD655472:BQG655472 BZZ655472:CAC655472 CJV655472:CJY655472 CTR655472:CTU655472 DDN655472:DDQ655472 DNJ655472:DNM655472 DXF655472:DXI655472 EHB655472:EHE655472 EQX655472:ERA655472 FAT655472:FAW655472 FKP655472:FKS655472 FUL655472:FUO655472 GEH655472:GEK655472 GOD655472:GOG655472 GXZ655472:GYC655472 HHV655472:HHY655472 HRR655472:HRU655472 IBN655472:IBQ655472 ILJ655472:ILM655472 IVF655472:IVI655472 JFB655472:JFE655472 JOX655472:JPA655472 JYT655472:JYW655472 KIP655472:KIS655472 KSL655472:KSO655472 LCH655472:LCK655472 LMD655472:LMG655472 LVZ655472:LWC655472 MFV655472:MFY655472 MPR655472:MPU655472 MZN655472:MZQ655472 NJJ655472:NJM655472 NTF655472:NTI655472 ODB655472:ODE655472 OMX655472:ONA655472 OWT655472:OWW655472 PGP655472:PGS655472 PQL655472:PQO655472 QAH655472:QAK655472 QKD655472:QKG655472 QTZ655472:QUC655472 RDV655472:RDY655472 RNR655472:RNU655472 RXN655472:RXQ655472 SHJ655472:SHM655472 SRF655472:SRI655472 TBB655472:TBE655472 TKX655472:TLA655472 TUT655472:TUW655472 UEP655472:UES655472 UOL655472:UOO655472 UYH655472:UYK655472 VID655472:VIG655472 VRZ655472:VSC655472 WBV655472:WBY655472 WLR655472:WLU655472 WVN655472:WVQ655472 F721008:I721008 JB721008:JE721008 SX721008:TA721008 ACT721008:ACW721008 AMP721008:AMS721008 AWL721008:AWO721008 BGH721008:BGK721008 BQD721008:BQG721008 BZZ721008:CAC721008 CJV721008:CJY721008 CTR721008:CTU721008 DDN721008:DDQ721008 DNJ721008:DNM721008 DXF721008:DXI721008 EHB721008:EHE721008 EQX721008:ERA721008 FAT721008:FAW721008 FKP721008:FKS721008 FUL721008:FUO721008 GEH721008:GEK721008 GOD721008:GOG721008 GXZ721008:GYC721008 HHV721008:HHY721008 HRR721008:HRU721008 IBN721008:IBQ721008 ILJ721008:ILM721008 IVF721008:IVI721008 JFB721008:JFE721008 JOX721008:JPA721008 JYT721008:JYW721008 KIP721008:KIS721008 KSL721008:KSO721008 LCH721008:LCK721008 LMD721008:LMG721008 LVZ721008:LWC721008 MFV721008:MFY721008 MPR721008:MPU721008 MZN721008:MZQ721008 NJJ721008:NJM721008 NTF721008:NTI721008 ODB721008:ODE721008 OMX721008:ONA721008 OWT721008:OWW721008 PGP721008:PGS721008 PQL721008:PQO721008 QAH721008:QAK721008 QKD721008:QKG721008 QTZ721008:QUC721008 RDV721008:RDY721008 RNR721008:RNU721008 RXN721008:RXQ721008 SHJ721008:SHM721008 SRF721008:SRI721008 TBB721008:TBE721008 TKX721008:TLA721008 TUT721008:TUW721008 UEP721008:UES721008 UOL721008:UOO721008 UYH721008:UYK721008 VID721008:VIG721008 VRZ721008:VSC721008 WBV721008:WBY721008 WLR721008:WLU721008 WVN721008:WVQ721008 F786544:I786544 JB786544:JE786544 SX786544:TA786544 ACT786544:ACW786544 AMP786544:AMS786544 AWL786544:AWO786544 BGH786544:BGK786544 BQD786544:BQG786544 BZZ786544:CAC786544 CJV786544:CJY786544 CTR786544:CTU786544 DDN786544:DDQ786544 DNJ786544:DNM786544 DXF786544:DXI786544 EHB786544:EHE786544 EQX786544:ERA786544 FAT786544:FAW786544 FKP786544:FKS786544 FUL786544:FUO786544 GEH786544:GEK786544 GOD786544:GOG786544 GXZ786544:GYC786544 HHV786544:HHY786544 HRR786544:HRU786544 IBN786544:IBQ786544 ILJ786544:ILM786544 IVF786544:IVI786544 JFB786544:JFE786544 JOX786544:JPA786544 JYT786544:JYW786544 KIP786544:KIS786544 KSL786544:KSO786544 LCH786544:LCK786544 LMD786544:LMG786544 LVZ786544:LWC786544 MFV786544:MFY786544 MPR786544:MPU786544 MZN786544:MZQ786544 NJJ786544:NJM786544 NTF786544:NTI786544 ODB786544:ODE786544 OMX786544:ONA786544 OWT786544:OWW786544 PGP786544:PGS786544 PQL786544:PQO786544 QAH786544:QAK786544 QKD786544:QKG786544 QTZ786544:QUC786544 RDV786544:RDY786544 RNR786544:RNU786544 RXN786544:RXQ786544 SHJ786544:SHM786544 SRF786544:SRI786544 TBB786544:TBE786544 TKX786544:TLA786544 TUT786544:TUW786544 UEP786544:UES786544 UOL786544:UOO786544 UYH786544:UYK786544 VID786544:VIG786544 VRZ786544:VSC786544 WBV786544:WBY786544 WLR786544:WLU786544 WVN786544:WVQ786544 F852080:I852080 JB852080:JE852080 SX852080:TA852080 ACT852080:ACW852080 AMP852080:AMS852080 AWL852080:AWO852080 BGH852080:BGK852080 BQD852080:BQG852080 BZZ852080:CAC852080 CJV852080:CJY852080 CTR852080:CTU852080 DDN852080:DDQ852080 DNJ852080:DNM852080 DXF852080:DXI852080 EHB852080:EHE852080 EQX852080:ERA852080 FAT852080:FAW852080 FKP852080:FKS852080 FUL852080:FUO852080 GEH852080:GEK852080 GOD852080:GOG852080 GXZ852080:GYC852080 HHV852080:HHY852080 HRR852080:HRU852080 IBN852080:IBQ852080 ILJ852080:ILM852080 IVF852080:IVI852080 JFB852080:JFE852080 JOX852080:JPA852080 JYT852080:JYW852080 KIP852080:KIS852080 KSL852080:KSO852080 LCH852080:LCK852080 LMD852080:LMG852080 LVZ852080:LWC852080 MFV852080:MFY852080 MPR852080:MPU852080 MZN852080:MZQ852080 NJJ852080:NJM852080 NTF852080:NTI852080 ODB852080:ODE852080 OMX852080:ONA852080 OWT852080:OWW852080 PGP852080:PGS852080 PQL852080:PQO852080 QAH852080:QAK852080 QKD852080:QKG852080 QTZ852080:QUC852080 RDV852080:RDY852080 RNR852080:RNU852080 RXN852080:RXQ852080 SHJ852080:SHM852080 SRF852080:SRI852080 TBB852080:TBE852080 TKX852080:TLA852080 TUT852080:TUW852080 UEP852080:UES852080 UOL852080:UOO852080 UYH852080:UYK852080 VID852080:VIG852080 VRZ852080:VSC852080 WBV852080:WBY852080 WLR852080:WLU852080 WVN852080:WVQ852080 F917616:I917616 JB917616:JE917616 SX917616:TA917616 ACT917616:ACW917616 AMP917616:AMS917616 AWL917616:AWO917616 BGH917616:BGK917616 BQD917616:BQG917616 BZZ917616:CAC917616 CJV917616:CJY917616 CTR917616:CTU917616 DDN917616:DDQ917616 DNJ917616:DNM917616 DXF917616:DXI917616 EHB917616:EHE917616 EQX917616:ERA917616 FAT917616:FAW917616 FKP917616:FKS917616 FUL917616:FUO917616 GEH917616:GEK917616 GOD917616:GOG917616 GXZ917616:GYC917616 HHV917616:HHY917616 HRR917616:HRU917616 IBN917616:IBQ917616 ILJ917616:ILM917616 IVF917616:IVI917616 JFB917616:JFE917616 JOX917616:JPA917616 JYT917616:JYW917616 KIP917616:KIS917616 KSL917616:KSO917616 LCH917616:LCK917616 LMD917616:LMG917616 LVZ917616:LWC917616 MFV917616:MFY917616 MPR917616:MPU917616 MZN917616:MZQ917616 NJJ917616:NJM917616 NTF917616:NTI917616 ODB917616:ODE917616 OMX917616:ONA917616 OWT917616:OWW917616 PGP917616:PGS917616 PQL917616:PQO917616 QAH917616:QAK917616 QKD917616:QKG917616 QTZ917616:QUC917616 RDV917616:RDY917616 RNR917616:RNU917616 RXN917616:RXQ917616 SHJ917616:SHM917616 SRF917616:SRI917616 TBB917616:TBE917616 TKX917616:TLA917616 TUT917616:TUW917616 UEP917616:UES917616 UOL917616:UOO917616 UYH917616:UYK917616 VID917616:VIG917616 VRZ917616:VSC917616 WBV917616:WBY917616 WLR917616:WLU917616 WVN917616:WVQ917616 F983152:I983152 JB983152:JE983152 SX983152:TA983152 ACT983152:ACW983152 AMP983152:AMS983152 AWL983152:AWO983152 BGH983152:BGK983152 BQD983152:BQG983152 BZZ983152:CAC983152 CJV983152:CJY983152 CTR983152:CTU983152 DDN983152:DDQ983152 DNJ983152:DNM983152 DXF983152:DXI983152 EHB983152:EHE983152 EQX983152:ERA983152 FAT983152:FAW983152 FKP983152:FKS983152 FUL983152:FUO983152 GEH983152:GEK983152 GOD983152:GOG983152 GXZ983152:GYC983152 HHV983152:HHY983152 HRR983152:HRU983152 IBN983152:IBQ983152 ILJ983152:ILM983152 IVF983152:IVI983152 JFB983152:JFE983152 JOX983152:JPA983152 JYT983152:JYW983152 KIP983152:KIS983152 KSL983152:KSO983152 LCH983152:LCK983152 LMD983152:LMG983152 LVZ983152:LWC983152 MFV983152:MFY983152 MPR983152:MPU983152 MZN983152:MZQ983152 NJJ983152:NJM983152 NTF983152:NTI983152 ODB983152:ODE983152 OMX983152:ONA983152 OWT983152:OWW983152 PGP983152:PGS983152 PQL983152:PQO983152 QAH983152:QAK983152 QKD983152:QKG983152 QTZ983152:QUC983152 RDV983152:RDY983152 RNR983152:RNU983152 RXN983152:RXQ983152 SHJ983152:SHM983152 SRF983152:SRI983152 TBB983152:TBE983152 TKX983152:TLA983152 TUT983152:TUW983152 UEP983152:UES983152 UOL983152:UOO983152 UYH983152:UYK983152 VID983152:VIG983152 VRZ983152:VSC983152 WBV983152:WBY983152 WLR983152:WLU983152 WVN983152:WVQ983152 F107:I107 JB107:JE107 SX107:TA107 ACT107:ACW107 AMP107:AMS107 AWL107:AWO107 BGH107:BGK107 BQD107:BQG107 BZZ107:CAC107 CJV107:CJY107 CTR107:CTU107 DDN107:DDQ107 DNJ107:DNM107 DXF107:DXI107 EHB107:EHE107 EQX107:ERA107 FAT107:FAW107 FKP107:FKS107 FUL107:FUO107 GEH107:GEK107 GOD107:GOG107 GXZ107:GYC107 HHV107:HHY107 HRR107:HRU107 IBN107:IBQ107 ILJ107:ILM107 IVF107:IVI107 JFB107:JFE107 JOX107:JPA107 JYT107:JYW107 KIP107:KIS107 KSL107:KSO107 LCH107:LCK107 LMD107:LMG107 LVZ107:LWC107 MFV107:MFY107 MPR107:MPU107 MZN107:MZQ107 NJJ107:NJM107 NTF107:NTI107 ODB107:ODE107 OMX107:ONA107 OWT107:OWW107 PGP107:PGS107 PQL107:PQO107 QAH107:QAK107 QKD107:QKG107 QTZ107:QUC107 RDV107:RDY107 RNR107:RNU107 RXN107:RXQ107 SHJ107:SHM107 SRF107:SRI107 TBB107:TBE107 TKX107:TLA107 TUT107:TUW107 UEP107:UES107 UOL107:UOO107 UYH107:UYK107 VID107:VIG107 VRZ107:VSC107 WBV107:WBY107 WLR107:WLU107 WVN107:WVQ107 F65643:I65643 JB65643:JE65643 SX65643:TA65643 ACT65643:ACW65643 AMP65643:AMS65643 AWL65643:AWO65643 BGH65643:BGK65643 BQD65643:BQG65643 BZZ65643:CAC65643 CJV65643:CJY65643 CTR65643:CTU65643 DDN65643:DDQ65643 DNJ65643:DNM65643 DXF65643:DXI65643 EHB65643:EHE65643 EQX65643:ERA65643 FAT65643:FAW65643 FKP65643:FKS65643 FUL65643:FUO65643 GEH65643:GEK65643 GOD65643:GOG65643 GXZ65643:GYC65643 HHV65643:HHY65643 HRR65643:HRU65643 IBN65643:IBQ65643 ILJ65643:ILM65643 IVF65643:IVI65643 JFB65643:JFE65643 JOX65643:JPA65643 JYT65643:JYW65643 KIP65643:KIS65643 KSL65643:KSO65643 LCH65643:LCK65643 LMD65643:LMG65643 LVZ65643:LWC65643 MFV65643:MFY65643 MPR65643:MPU65643 MZN65643:MZQ65643 NJJ65643:NJM65643 NTF65643:NTI65643 ODB65643:ODE65643 OMX65643:ONA65643 OWT65643:OWW65643 PGP65643:PGS65643 PQL65643:PQO65643 QAH65643:QAK65643 QKD65643:QKG65643 QTZ65643:QUC65643 RDV65643:RDY65643 RNR65643:RNU65643 RXN65643:RXQ65643 SHJ65643:SHM65643 SRF65643:SRI65643 TBB65643:TBE65643 TKX65643:TLA65643 TUT65643:TUW65643 UEP65643:UES65643 UOL65643:UOO65643 UYH65643:UYK65643 VID65643:VIG65643 VRZ65643:VSC65643 WBV65643:WBY65643 WLR65643:WLU65643 WVN65643:WVQ65643 F131179:I131179 JB131179:JE131179 SX131179:TA131179 ACT131179:ACW131179 AMP131179:AMS131179 AWL131179:AWO131179 BGH131179:BGK131179 BQD131179:BQG131179 BZZ131179:CAC131179 CJV131179:CJY131179 CTR131179:CTU131179 DDN131179:DDQ131179 DNJ131179:DNM131179 DXF131179:DXI131179 EHB131179:EHE131179 EQX131179:ERA131179 FAT131179:FAW131179 FKP131179:FKS131179 FUL131179:FUO131179 GEH131179:GEK131179 GOD131179:GOG131179 GXZ131179:GYC131179 HHV131179:HHY131179 HRR131179:HRU131179 IBN131179:IBQ131179 ILJ131179:ILM131179 IVF131179:IVI131179 JFB131179:JFE131179 JOX131179:JPA131179 JYT131179:JYW131179 KIP131179:KIS131179 KSL131179:KSO131179 LCH131179:LCK131179 LMD131179:LMG131179 LVZ131179:LWC131179 MFV131179:MFY131179 MPR131179:MPU131179 MZN131179:MZQ131179 NJJ131179:NJM131179 NTF131179:NTI131179 ODB131179:ODE131179 OMX131179:ONA131179 OWT131179:OWW131179 PGP131179:PGS131179 PQL131179:PQO131179 QAH131179:QAK131179 QKD131179:QKG131179 QTZ131179:QUC131179 RDV131179:RDY131179 RNR131179:RNU131179 RXN131179:RXQ131179 SHJ131179:SHM131179 SRF131179:SRI131179 TBB131179:TBE131179 TKX131179:TLA131179 TUT131179:TUW131179 UEP131179:UES131179 UOL131179:UOO131179 UYH131179:UYK131179 VID131179:VIG131179 VRZ131179:VSC131179 WBV131179:WBY131179 WLR131179:WLU131179 WVN131179:WVQ131179 F196715:I196715 JB196715:JE196715 SX196715:TA196715 ACT196715:ACW196715 AMP196715:AMS196715 AWL196715:AWO196715 BGH196715:BGK196715 BQD196715:BQG196715 BZZ196715:CAC196715 CJV196715:CJY196715 CTR196715:CTU196715 DDN196715:DDQ196715 DNJ196715:DNM196715 DXF196715:DXI196715 EHB196715:EHE196715 EQX196715:ERA196715 FAT196715:FAW196715 FKP196715:FKS196715 FUL196715:FUO196715 GEH196715:GEK196715 GOD196715:GOG196715 GXZ196715:GYC196715 HHV196715:HHY196715 HRR196715:HRU196715 IBN196715:IBQ196715 ILJ196715:ILM196715 IVF196715:IVI196715 JFB196715:JFE196715 JOX196715:JPA196715 JYT196715:JYW196715 KIP196715:KIS196715 KSL196715:KSO196715 LCH196715:LCK196715 LMD196715:LMG196715 LVZ196715:LWC196715 MFV196715:MFY196715 MPR196715:MPU196715 MZN196715:MZQ196715 NJJ196715:NJM196715 NTF196715:NTI196715 ODB196715:ODE196715 OMX196715:ONA196715 OWT196715:OWW196715 PGP196715:PGS196715 PQL196715:PQO196715 QAH196715:QAK196715 QKD196715:QKG196715 QTZ196715:QUC196715 RDV196715:RDY196715 RNR196715:RNU196715 RXN196715:RXQ196715 SHJ196715:SHM196715 SRF196715:SRI196715 TBB196715:TBE196715 TKX196715:TLA196715 TUT196715:TUW196715 UEP196715:UES196715 UOL196715:UOO196715 UYH196715:UYK196715 VID196715:VIG196715 VRZ196715:VSC196715 WBV196715:WBY196715 WLR196715:WLU196715 WVN196715:WVQ196715 F262251:I262251 JB262251:JE262251 SX262251:TA262251 ACT262251:ACW262251 AMP262251:AMS262251 AWL262251:AWO262251 BGH262251:BGK262251 BQD262251:BQG262251 BZZ262251:CAC262251 CJV262251:CJY262251 CTR262251:CTU262251 DDN262251:DDQ262251 DNJ262251:DNM262251 DXF262251:DXI262251 EHB262251:EHE262251 EQX262251:ERA262251 FAT262251:FAW262251 FKP262251:FKS262251 FUL262251:FUO262251 GEH262251:GEK262251 GOD262251:GOG262251 GXZ262251:GYC262251 HHV262251:HHY262251 HRR262251:HRU262251 IBN262251:IBQ262251 ILJ262251:ILM262251 IVF262251:IVI262251 JFB262251:JFE262251 JOX262251:JPA262251 JYT262251:JYW262251 KIP262251:KIS262251 KSL262251:KSO262251 LCH262251:LCK262251 LMD262251:LMG262251 LVZ262251:LWC262251 MFV262251:MFY262251 MPR262251:MPU262251 MZN262251:MZQ262251 NJJ262251:NJM262251 NTF262251:NTI262251 ODB262251:ODE262251 OMX262251:ONA262251 OWT262251:OWW262251 PGP262251:PGS262251 PQL262251:PQO262251 QAH262251:QAK262251 QKD262251:QKG262251 QTZ262251:QUC262251 RDV262251:RDY262251 RNR262251:RNU262251 RXN262251:RXQ262251 SHJ262251:SHM262251 SRF262251:SRI262251 TBB262251:TBE262251 TKX262251:TLA262251 TUT262251:TUW262251 UEP262251:UES262251 UOL262251:UOO262251 UYH262251:UYK262251 VID262251:VIG262251 VRZ262251:VSC262251 WBV262251:WBY262251 WLR262251:WLU262251 WVN262251:WVQ262251 F327787:I327787 JB327787:JE327787 SX327787:TA327787 ACT327787:ACW327787 AMP327787:AMS327787 AWL327787:AWO327787 BGH327787:BGK327787 BQD327787:BQG327787 BZZ327787:CAC327787 CJV327787:CJY327787 CTR327787:CTU327787 DDN327787:DDQ327787 DNJ327787:DNM327787 DXF327787:DXI327787 EHB327787:EHE327787 EQX327787:ERA327787 FAT327787:FAW327787 FKP327787:FKS327787 FUL327787:FUO327787 GEH327787:GEK327787 GOD327787:GOG327787 GXZ327787:GYC327787 HHV327787:HHY327787 HRR327787:HRU327787 IBN327787:IBQ327787 ILJ327787:ILM327787 IVF327787:IVI327787 JFB327787:JFE327787 JOX327787:JPA327787 JYT327787:JYW327787 KIP327787:KIS327787 KSL327787:KSO327787 LCH327787:LCK327787 LMD327787:LMG327787 LVZ327787:LWC327787 MFV327787:MFY327787 MPR327787:MPU327787 MZN327787:MZQ327787 NJJ327787:NJM327787 NTF327787:NTI327787 ODB327787:ODE327787 OMX327787:ONA327787 OWT327787:OWW327787 PGP327787:PGS327787 PQL327787:PQO327787 QAH327787:QAK327787 QKD327787:QKG327787 QTZ327787:QUC327787 RDV327787:RDY327787 RNR327787:RNU327787 RXN327787:RXQ327787 SHJ327787:SHM327787 SRF327787:SRI327787 TBB327787:TBE327787 TKX327787:TLA327787 TUT327787:TUW327787 UEP327787:UES327787 UOL327787:UOO327787 UYH327787:UYK327787 VID327787:VIG327787 VRZ327787:VSC327787 WBV327787:WBY327787 WLR327787:WLU327787 WVN327787:WVQ327787 F393323:I393323 JB393323:JE393323 SX393323:TA393323 ACT393323:ACW393323 AMP393323:AMS393323 AWL393323:AWO393323 BGH393323:BGK393323 BQD393323:BQG393323 BZZ393323:CAC393323 CJV393323:CJY393323 CTR393323:CTU393323 DDN393323:DDQ393323 DNJ393323:DNM393323 DXF393323:DXI393323 EHB393323:EHE393323 EQX393323:ERA393323 FAT393323:FAW393323 FKP393323:FKS393323 FUL393323:FUO393323 GEH393323:GEK393323 GOD393323:GOG393323 GXZ393323:GYC393323 HHV393323:HHY393323 HRR393323:HRU393323 IBN393323:IBQ393323 ILJ393323:ILM393323 IVF393323:IVI393323 JFB393323:JFE393323 JOX393323:JPA393323 JYT393323:JYW393323 KIP393323:KIS393323 KSL393323:KSO393323 LCH393323:LCK393323 LMD393323:LMG393323 LVZ393323:LWC393323 MFV393323:MFY393323 MPR393323:MPU393323 MZN393323:MZQ393323 NJJ393323:NJM393323 NTF393323:NTI393323 ODB393323:ODE393323 OMX393323:ONA393323 OWT393323:OWW393323 PGP393323:PGS393323 PQL393323:PQO393323 QAH393323:QAK393323 QKD393323:QKG393323 QTZ393323:QUC393323 RDV393323:RDY393323 RNR393323:RNU393323 RXN393323:RXQ393323 SHJ393323:SHM393323 SRF393323:SRI393323 TBB393323:TBE393323 TKX393323:TLA393323 TUT393323:TUW393323 UEP393323:UES393323 UOL393323:UOO393323 UYH393323:UYK393323 VID393323:VIG393323 VRZ393323:VSC393323 WBV393323:WBY393323 WLR393323:WLU393323 WVN393323:WVQ393323 F458859:I458859 JB458859:JE458859 SX458859:TA458859 ACT458859:ACW458859 AMP458859:AMS458859 AWL458859:AWO458859 BGH458859:BGK458859 BQD458859:BQG458859 BZZ458859:CAC458859 CJV458859:CJY458859 CTR458859:CTU458859 DDN458859:DDQ458859 DNJ458859:DNM458859 DXF458859:DXI458859 EHB458859:EHE458859 EQX458859:ERA458859 FAT458859:FAW458859 FKP458859:FKS458859 FUL458859:FUO458859 GEH458859:GEK458859 GOD458859:GOG458859 GXZ458859:GYC458859 HHV458859:HHY458859 HRR458859:HRU458859 IBN458859:IBQ458859 ILJ458859:ILM458859 IVF458859:IVI458859 JFB458859:JFE458859 JOX458859:JPA458859 JYT458859:JYW458859 KIP458859:KIS458859 KSL458859:KSO458859 LCH458859:LCK458859 LMD458859:LMG458859 LVZ458859:LWC458859 MFV458859:MFY458859 MPR458859:MPU458859 MZN458859:MZQ458859 NJJ458859:NJM458859 NTF458859:NTI458859 ODB458859:ODE458859 OMX458859:ONA458859 OWT458859:OWW458859 PGP458859:PGS458859 PQL458859:PQO458859 QAH458859:QAK458859 QKD458859:QKG458859 QTZ458859:QUC458859 RDV458859:RDY458859 RNR458859:RNU458859 RXN458859:RXQ458859 SHJ458859:SHM458859 SRF458859:SRI458859 TBB458859:TBE458859 TKX458859:TLA458859 TUT458859:TUW458859 UEP458859:UES458859 UOL458859:UOO458859 UYH458859:UYK458859 VID458859:VIG458859 VRZ458859:VSC458859 WBV458859:WBY458859 WLR458859:WLU458859 WVN458859:WVQ458859 F524395:I524395 JB524395:JE524395 SX524395:TA524395 ACT524395:ACW524395 AMP524395:AMS524395 AWL524395:AWO524395 BGH524395:BGK524395 BQD524395:BQG524395 BZZ524395:CAC524395 CJV524395:CJY524395 CTR524395:CTU524395 DDN524395:DDQ524395 DNJ524395:DNM524395 DXF524395:DXI524395 EHB524395:EHE524395 EQX524395:ERA524395 FAT524395:FAW524395 FKP524395:FKS524395 FUL524395:FUO524395 GEH524395:GEK524395 GOD524395:GOG524395 GXZ524395:GYC524395 HHV524395:HHY524395 HRR524395:HRU524395 IBN524395:IBQ524395 ILJ524395:ILM524395 IVF524395:IVI524395 JFB524395:JFE524395 JOX524395:JPA524395 JYT524395:JYW524395 KIP524395:KIS524395 KSL524395:KSO524395 LCH524395:LCK524395 LMD524395:LMG524395 LVZ524395:LWC524395 MFV524395:MFY524395 MPR524395:MPU524395 MZN524395:MZQ524395 NJJ524395:NJM524395 NTF524395:NTI524395 ODB524395:ODE524395 OMX524395:ONA524395 OWT524395:OWW524395 PGP524395:PGS524395 PQL524395:PQO524395 QAH524395:QAK524395 QKD524395:QKG524395 QTZ524395:QUC524395 RDV524395:RDY524395 RNR524395:RNU524395 RXN524395:RXQ524395 SHJ524395:SHM524395 SRF524395:SRI524395 TBB524395:TBE524395 TKX524395:TLA524395 TUT524395:TUW524395 UEP524395:UES524395 UOL524395:UOO524395 UYH524395:UYK524395 VID524395:VIG524395 VRZ524395:VSC524395 WBV524395:WBY524395 WLR524395:WLU524395 WVN524395:WVQ524395 F589931:I589931 JB589931:JE589931 SX589931:TA589931 ACT589931:ACW589931 AMP589931:AMS589931 AWL589931:AWO589931 BGH589931:BGK589931 BQD589931:BQG589931 BZZ589931:CAC589931 CJV589931:CJY589931 CTR589931:CTU589931 DDN589931:DDQ589931 DNJ589931:DNM589931 DXF589931:DXI589931 EHB589931:EHE589931 EQX589931:ERA589931 FAT589931:FAW589931 FKP589931:FKS589931 FUL589931:FUO589931 GEH589931:GEK589931 GOD589931:GOG589931 GXZ589931:GYC589931 HHV589931:HHY589931 HRR589931:HRU589931 IBN589931:IBQ589931 ILJ589931:ILM589931 IVF589931:IVI589931 JFB589931:JFE589931 JOX589931:JPA589931 JYT589931:JYW589931 KIP589931:KIS589931 KSL589931:KSO589931 LCH589931:LCK589931 LMD589931:LMG589931 LVZ589931:LWC589931 MFV589931:MFY589931 MPR589931:MPU589931 MZN589931:MZQ589931 NJJ589931:NJM589931 NTF589931:NTI589931 ODB589931:ODE589931 OMX589931:ONA589931 OWT589931:OWW589931 PGP589931:PGS589931 PQL589931:PQO589931 QAH589931:QAK589931 QKD589931:QKG589931 QTZ589931:QUC589931 RDV589931:RDY589931 RNR589931:RNU589931 RXN589931:RXQ589931 SHJ589931:SHM589931 SRF589931:SRI589931 TBB589931:TBE589931 TKX589931:TLA589931 TUT589931:TUW589931 UEP589931:UES589931 UOL589931:UOO589931 UYH589931:UYK589931 VID589931:VIG589931 VRZ589931:VSC589931 WBV589931:WBY589931 WLR589931:WLU589931 WVN589931:WVQ589931 F655467:I655467 JB655467:JE655467 SX655467:TA655467 ACT655467:ACW655467 AMP655467:AMS655467 AWL655467:AWO655467 BGH655467:BGK655467 BQD655467:BQG655467 BZZ655467:CAC655467 CJV655467:CJY655467 CTR655467:CTU655467 DDN655467:DDQ655467 DNJ655467:DNM655467 DXF655467:DXI655467 EHB655467:EHE655467 EQX655467:ERA655467 FAT655467:FAW655467 FKP655467:FKS655467 FUL655467:FUO655467 GEH655467:GEK655467 GOD655467:GOG655467 GXZ655467:GYC655467 HHV655467:HHY655467 HRR655467:HRU655467 IBN655467:IBQ655467 ILJ655467:ILM655467 IVF655467:IVI655467 JFB655467:JFE655467 JOX655467:JPA655467 JYT655467:JYW655467 KIP655467:KIS655467 KSL655467:KSO655467 LCH655467:LCK655467 LMD655467:LMG655467 LVZ655467:LWC655467 MFV655467:MFY655467 MPR655467:MPU655467 MZN655467:MZQ655467 NJJ655467:NJM655467 NTF655467:NTI655467 ODB655467:ODE655467 OMX655467:ONA655467 OWT655467:OWW655467 PGP655467:PGS655467 PQL655467:PQO655467 QAH655467:QAK655467 QKD655467:QKG655467 QTZ655467:QUC655467 RDV655467:RDY655467 RNR655467:RNU655467 RXN655467:RXQ655467 SHJ655467:SHM655467 SRF655467:SRI655467 TBB655467:TBE655467 TKX655467:TLA655467 TUT655467:TUW655467 UEP655467:UES655467 UOL655467:UOO655467 UYH655467:UYK655467 VID655467:VIG655467 VRZ655467:VSC655467 WBV655467:WBY655467 WLR655467:WLU655467 WVN655467:WVQ655467 F721003:I721003 JB721003:JE721003 SX721003:TA721003 ACT721003:ACW721003 AMP721003:AMS721003 AWL721003:AWO721003 BGH721003:BGK721003 BQD721003:BQG721003 BZZ721003:CAC721003 CJV721003:CJY721003 CTR721003:CTU721003 DDN721003:DDQ721003 DNJ721003:DNM721003 DXF721003:DXI721003 EHB721003:EHE721003 EQX721003:ERA721003 FAT721003:FAW721003 FKP721003:FKS721003 FUL721003:FUO721003 GEH721003:GEK721003 GOD721003:GOG721003 GXZ721003:GYC721003 HHV721003:HHY721003 HRR721003:HRU721003 IBN721003:IBQ721003 ILJ721003:ILM721003 IVF721003:IVI721003 JFB721003:JFE721003 JOX721003:JPA721003 JYT721003:JYW721003 KIP721003:KIS721003 KSL721003:KSO721003 LCH721003:LCK721003 LMD721003:LMG721003 LVZ721003:LWC721003 MFV721003:MFY721003 MPR721003:MPU721003 MZN721003:MZQ721003 NJJ721003:NJM721003 NTF721003:NTI721003 ODB721003:ODE721003 OMX721003:ONA721003 OWT721003:OWW721003 PGP721003:PGS721003 PQL721003:PQO721003 QAH721003:QAK721003 QKD721003:QKG721003 QTZ721003:QUC721003 RDV721003:RDY721003 RNR721003:RNU721003 RXN721003:RXQ721003 SHJ721003:SHM721003 SRF721003:SRI721003 TBB721003:TBE721003 TKX721003:TLA721003 TUT721003:TUW721003 UEP721003:UES721003 UOL721003:UOO721003 UYH721003:UYK721003 VID721003:VIG721003 VRZ721003:VSC721003 WBV721003:WBY721003 WLR721003:WLU721003 WVN721003:WVQ721003 F786539:I786539 JB786539:JE786539 SX786539:TA786539 ACT786539:ACW786539 AMP786539:AMS786539 AWL786539:AWO786539 BGH786539:BGK786539 BQD786539:BQG786539 BZZ786539:CAC786539 CJV786539:CJY786539 CTR786539:CTU786539 DDN786539:DDQ786539 DNJ786539:DNM786539 DXF786539:DXI786539 EHB786539:EHE786539 EQX786539:ERA786539 FAT786539:FAW786539 FKP786539:FKS786539 FUL786539:FUO786539 GEH786539:GEK786539 GOD786539:GOG786539 GXZ786539:GYC786539 HHV786539:HHY786539 HRR786539:HRU786539 IBN786539:IBQ786539 ILJ786539:ILM786539 IVF786539:IVI786539 JFB786539:JFE786539 JOX786539:JPA786539 JYT786539:JYW786539 KIP786539:KIS786539 KSL786539:KSO786539 LCH786539:LCK786539 LMD786539:LMG786539 LVZ786539:LWC786539 MFV786539:MFY786539 MPR786539:MPU786539 MZN786539:MZQ786539 NJJ786539:NJM786539 NTF786539:NTI786539 ODB786539:ODE786539 OMX786539:ONA786539 OWT786539:OWW786539 PGP786539:PGS786539 PQL786539:PQO786539 QAH786539:QAK786539 QKD786539:QKG786539 QTZ786539:QUC786539 RDV786539:RDY786539 RNR786539:RNU786539 RXN786539:RXQ786539 SHJ786539:SHM786539 SRF786539:SRI786539 TBB786539:TBE786539 TKX786539:TLA786539 TUT786539:TUW786539 UEP786539:UES786539 UOL786539:UOO786539 UYH786539:UYK786539 VID786539:VIG786539 VRZ786539:VSC786539 WBV786539:WBY786539 WLR786539:WLU786539 WVN786539:WVQ786539 F852075:I852075 JB852075:JE852075 SX852075:TA852075 ACT852075:ACW852075 AMP852075:AMS852075 AWL852075:AWO852075 BGH852075:BGK852075 BQD852075:BQG852075 BZZ852075:CAC852075 CJV852075:CJY852075 CTR852075:CTU852075 DDN852075:DDQ852075 DNJ852075:DNM852075 DXF852075:DXI852075 EHB852075:EHE852075 EQX852075:ERA852075 FAT852075:FAW852075 FKP852075:FKS852075 FUL852075:FUO852075 GEH852075:GEK852075 GOD852075:GOG852075 GXZ852075:GYC852075 HHV852075:HHY852075 HRR852075:HRU852075 IBN852075:IBQ852075 ILJ852075:ILM852075 IVF852075:IVI852075 JFB852075:JFE852075 JOX852075:JPA852075 JYT852075:JYW852075 KIP852075:KIS852075 KSL852075:KSO852075 LCH852075:LCK852075 LMD852075:LMG852075 LVZ852075:LWC852075 MFV852075:MFY852075 MPR852075:MPU852075 MZN852075:MZQ852075 NJJ852075:NJM852075 NTF852075:NTI852075 ODB852075:ODE852075 OMX852075:ONA852075 OWT852075:OWW852075 PGP852075:PGS852075 PQL852075:PQO852075 QAH852075:QAK852075 QKD852075:QKG852075 QTZ852075:QUC852075 RDV852075:RDY852075 RNR852075:RNU852075 RXN852075:RXQ852075 SHJ852075:SHM852075 SRF852075:SRI852075 TBB852075:TBE852075 TKX852075:TLA852075 TUT852075:TUW852075 UEP852075:UES852075 UOL852075:UOO852075 UYH852075:UYK852075 VID852075:VIG852075 VRZ852075:VSC852075 WBV852075:WBY852075 WLR852075:WLU852075 WVN852075:WVQ852075 F917611:I917611 JB917611:JE917611 SX917611:TA917611 ACT917611:ACW917611 AMP917611:AMS917611 AWL917611:AWO917611 BGH917611:BGK917611 BQD917611:BQG917611 BZZ917611:CAC917611 CJV917611:CJY917611 CTR917611:CTU917611 DDN917611:DDQ917611 DNJ917611:DNM917611 DXF917611:DXI917611 EHB917611:EHE917611 EQX917611:ERA917611 FAT917611:FAW917611 FKP917611:FKS917611 FUL917611:FUO917611 GEH917611:GEK917611 GOD917611:GOG917611 GXZ917611:GYC917611 HHV917611:HHY917611 HRR917611:HRU917611 IBN917611:IBQ917611 ILJ917611:ILM917611 IVF917611:IVI917611 JFB917611:JFE917611 JOX917611:JPA917611 JYT917611:JYW917611 KIP917611:KIS917611 KSL917611:KSO917611 LCH917611:LCK917611 LMD917611:LMG917611 LVZ917611:LWC917611 MFV917611:MFY917611 MPR917611:MPU917611 MZN917611:MZQ917611 NJJ917611:NJM917611 NTF917611:NTI917611 ODB917611:ODE917611 OMX917611:ONA917611 OWT917611:OWW917611 PGP917611:PGS917611 PQL917611:PQO917611 QAH917611:QAK917611 QKD917611:QKG917611 QTZ917611:QUC917611 RDV917611:RDY917611 RNR917611:RNU917611 RXN917611:RXQ917611 SHJ917611:SHM917611 SRF917611:SRI917611 TBB917611:TBE917611 TKX917611:TLA917611 TUT917611:TUW917611 UEP917611:UES917611 UOL917611:UOO917611 UYH917611:UYK917611 VID917611:VIG917611 VRZ917611:VSC917611 WBV917611:WBY917611 WLR917611:WLU917611 WVN917611:WVQ917611 F983147:I983147 JB983147:JE983147 SX983147:TA983147 ACT983147:ACW983147 AMP983147:AMS983147 AWL983147:AWO983147 BGH983147:BGK983147 BQD983147:BQG983147 BZZ983147:CAC983147 CJV983147:CJY983147 CTR983147:CTU983147 DDN983147:DDQ983147 DNJ983147:DNM983147 DXF983147:DXI983147 EHB983147:EHE983147 EQX983147:ERA983147 FAT983147:FAW983147 FKP983147:FKS983147 FUL983147:FUO983147 GEH983147:GEK983147 GOD983147:GOG983147 GXZ983147:GYC983147 HHV983147:HHY983147 HRR983147:HRU983147 IBN983147:IBQ983147 ILJ983147:ILM983147 IVF983147:IVI983147 JFB983147:JFE983147 JOX983147:JPA983147 JYT983147:JYW983147 KIP983147:KIS983147 KSL983147:KSO983147 LCH983147:LCK983147 LMD983147:LMG983147 LVZ983147:LWC983147 MFV983147:MFY983147 MPR983147:MPU983147 MZN983147:MZQ983147 NJJ983147:NJM983147 NTF983147:NTI983147 ODB983147:ODE983147 OMX983147:ONA983147 OWT983147:OWW983147 PGP983147:PGS983147 PQL983147:PQO983147 QAH983147:QAK983147 QKD983147:QKG983147 QTZ983147:QUC983147 RDV983147:RDY983147 RNR983147:RNU983147 RXN983147:RXQ983147 SHJ983147:SHM983147 SRF983147:SRI983147 TBB983147:TBE983147 TKX983147:TLA983147 TUT983147:TUW983147 UEP983147:UES983147 UOL983147:UOO983147 UYH983147:UYK983147 VID983147:VIG983147 VRZ983147:VSC983147 WBV983147:WBY983147 WLR983147:WLU983147 WVN983147:WVQ983147 F92:I95 JB92:JE95 SX92:TA95 ACT92:ACW95 AMP92:AMS95 AWL92:AWO95 BGH92:BGK95 BQD92:BQG95 BZZ92:CAC95 CJV92:CJY95 CTR92:CTU95 DDN92:DDQ95 DNJ92:DNM95 DXF92:DXI95 EHB92:EHE95 EQX92:ERA95 FAT92:FAW95 FKP92:FKS95 FUL92:FUO95 GEH92:GEK95 GOD92:GOG95 GXZ92:GYC95 HHV92:HHY95 HRR92:HRU95 IBN92:IBQ95 ILJ92:ILM95 IVF92:IVI95 JFB92:JFE95 JOX92:JPA95 JYT92:JYW95 KIP92:KIS95 KSL92:KSO95 LCH92:LCK95 LMD92:LMG95 LVZ92:LWC95 MFV92:MFY95 MPR92:MPU95 MZN92:MZQ95 NJJ92:NJM95 NTF92:NTI95 ODB92:ODE95 OMX92:ONA95 OWT92:OWW95 PGP92:PGS95 PQL92:PQO95 QAH92:QAK95 QKD92:QKG95 QTZ92:QUC95 RDV92:RDY95 RNR92:RNU95 RXN92:RXQ95 SHJ92:SHM95 SRF92:SRI95 TBB92:TBE95 TKX92:TLA95 TUT92:TUW95 UEP92:UES95 UOL92:UOO95 UYH92:UYK95 VID92:VIG95 VRZ92:VSC95 WBV92:WBY95 WLR92:WLU95 WVN92:WVQ95 F65628:I65631 JB65628:JE65631 SX65628:TA65631 ACT65628:ACW65631 AMP65628:AMS65631 AWL65628:AWO65631 BGH65628:BGK65631 BQD65628:BQG65631 BZZ65628:CAC65631 CJV65628:CJY65631 CTR65628:CTU65631 DDN65628:DDQ65631 DNJ65628:DNM65631 DXF65628:DXI65631 EHB65628:EHE65631 EQX65628:ERA65631 FAT65628:FAW65631 FKP65628:FKS65631 FUL65628:FUO65631 GEH65628:GEK65631 GOD65628:GOG65631 GXZ65628:GYC65631 HHV65628:HHY65631 HRR65628:HRU65631 IBN65628:IBQ65631 ILJ65628:ILM65631 IVF65628:IVI65631 JFB65628:JFE65631 JOX65628:JPA65631 JYT65628:JYW65631 KIP65628:KIS65631 KSL65628:KSO65631 LCH65628:LCK65631 LMD65628:LMG65631 LVZ65628:LWC65631 MFV65628:MFY65631 MPR65628:MPU65631 MZN65628:MZQ65631 NJJ65628:NJM65631 NTF65628:NTI65631 ODB65628:ODE65631 OMX65628:ONA65631 OWT65628:OWW65631 PGP65628:PGS65631 PQL65628:PQO65631 QAH65628:QAK65631 QKD65628:QKG65631 QTZ65628:QUC65631 RDV65628:RDY65631 RNR65628:RNU65631 RXN65628:RXQ65631 SHJ65628:SHM65631 SRF65628:SRI65631 TBB65628:TBE65631 TKX65628:TLA65631 TUT65628:TUW65631 UEP65628:UES65631 UOL65628:UOO65631 UYH65628:UYK65631 VID65628:VIG65631 VRZ65628:VSC65631 WBV65628:WBY65631 WLR65628:WLU65631 WVN65628:WVQ65631 F131164:I131167 JB131164:JE131167 SX131164:TA131167 ACT131164:ACW131167 AMP131164:AMS131167 AWL131164:AWO131167 BGH131164:BGK131167 BQD131164:BQG131167 BZZ131164:CAC131167 CJV131164:CJY131167 CTR131164:CTU131167 DDN131164:DDQ131167 DNJ131164:DNM131167 DXF131164:DXI131167 EHB131164:EHE131167 EQX131164:ERA131167 FAT131164:FAW131167 FKP131164:FKS131167 FUL131164:FUO131167 GEH131164:GEK131167 GOD131164:GOG131167 GXZ131164:GYC131167 HHV131164:HHY131167 HRR131164:HRU131167 IBN131164:IBQ131167 ILJ131164:ILM131167 IVF131164:IVI131167 JFB131164:JFE131167 JOX131164:JPA131167 JYT131164:JYW131167 KIP131164:KIS131167 KSL131164:KSO131167 LCH131164:LCK131167 LMD131164:LMG131167 LVZ131164:LWC131167 MFV131164:MFY131167 MPR131164:MPU131167 MZN131164:MZQ131167 NJJ131164:NJM131167 NTF131164:NTI131167 ODB131164:ODE131167 OMX131164:ONA131167 OWT131164:OWW131167 PGP131164:PGS131167 PQL131164:PQO131167 QAH131164:QAK131167 QKD131164:QKG131167 QTZ131164:QUC131167 RDV131164:RDY131167 RNR131164:RNU131167 RXN131164:RXQ131167 SHJ131164:SHM131167 SRF131164:SRI131167 TBB131164:TBE131167 TKX131164:TLA131167 TUT131164:TUW131167 UEP131164:UES131167 UOL131164:UOO131167 UYH131164:UYK131167 VID131164:VIG131167 VRZ131164:VSC131167 WBV131164:WBY131167 WLR131164:WLU131167 WVN131164:WVQ131167 F196700:I196703 JB196700:JE196703 SX196700:TA196703 ACT196700:ACW196703 AMP196700:AMS196703 AWL196700:AWO196703 BGH196700:BGK196703 BQD196700:BQG196703 BZZ196700:CAC196703 CJV196700:CJY196703 CTR196700:CTU196703 DDN196700:DDQ196703 DNJ196700:DNM196703 DXF196700:DXI196703 EHB196700:EHE196703 EQX196700:ERA196703 FAT196700:FAW196703 FKP196700:FKS196703 FUL196700:FUO196703 GEH196700:GEK196703 GOD196700:GOG196703 GXZ196700:GYC196703 HHV196700:HHY196703 HRR196700:HRU196703 IBN196700:IBQ196703 ILJ196700:ILM196703 IVF196700:IVI196703 JFB196700:JFE196703 JOX196700:JPA196703 JYT196700:JYW196703 KIP196700:KIS196703 KSL196700:KSO196703 LCH196700:LCK196703 LMD196700:LMG196703 LVZ196700:LWC196703 MFV196700:MFY196703 MPR196700:MPU196703 MZN196700:MZQ196703 NJJ196700:NJM196703 NTF196700:NTI196703 ODB196700:ODE196703 OMX196700:ONA196703 OWT196700:OWW196703 PGP196700:PGS196703 PQL196700:PQO196703 QAH196700:QAK196703 QKD196700:QKG196703 QTZ196700:QUC196703 RDV196700:RDY196703 RNR196700:RNU196703 RXN196700:RXQ196703 SHJ196700:SHM196703 SRF196700:SRI196703 TBB196700:TBE196703 TKX196700:TLA196703 TUT196700:TUW196703 UEP196700:UES196703 UOL196700:UOO196703 UYH196700:UYK196703 VID196700:VIG196703 VRZ196700:VSC196703 WBV196700:WBY196703 WLR196700:WLU196703 WVN196700:WVQ196703 F262236:I262239 JB262236:JE262239 SX262236:TA262239 ACT262236:ACW262239 AMP262236:AMS262239 AWL262236:AWO262239 BGH262236:BGK262239 BQD262236:BQG262239 BZZ262236:CAC262239 CJV262236:CJY262239 CTR262236:CTU262239 DDN262236:DDQ262239 DNJ262236:DNM262239 DXF262236:DXI262239 EHB262236:EHE262239 EQX262236:ERA262239 FAT262236:FAW262239 FKP262236:FKS262239 FUL262236:FUO262239 GEH262236:GEK262239 GOD262236:GOG262239 GXZ262236:GYC262239 HHV262236:HHY262239 HRR262236:HRU262239 IBN262236:IBQ262239 ILJ262236:ILM262239 IVF262236:IVI262239 JFB262236:JFE262239 JOX262236:JPA262239 JYT262236:JYW262239 KIP262236:KIS262239 KSL262236:KSO262239 LCH262236:LCK262239 LMD262236:LMG262239 LVZ262236:LWC262239 MFV262236:MFY262239 MPR262236:MPU262239 MZN262236:MZQ262239 NJJ262236:NJM262239 NTF262236:NTI262239 ODB262236:ODE262239 OMX262236:ONA262239 OWT262236:OWW262239 PGP262236:PGS262239 PQL262236:PQO262239 QAH262236:QAK262239 QKD262236:QKG262239 QTZ262236:QUC262239 RDV262236:RDY262239 RNR262236:RNU262239 RXN262236:RXQ262239 SHJ262236:SHM262239 SRF262236:SRI262239 TBB262236:TBE262239 TKX262236:TLA262239 TUT262236:TUW262239 UEP262236:UES262239 UOL262236:UOO262239 UYH262236:UYK262239 VID262236:VIG262239 VRZ262236:VSC262239 WBV262236:WBY262239 WLR262236:WLU262239 WVN262236:WVQ262239 F327772:I327775 JB327772:JE327775 SX327772:TA327775 ACT327772:ACW327775 AMP327772:AMS327775 AWL327772:AWO327775 BGH327772:BGK327775 BQD327772:BQG327775 BZZ327772:CAC327775 CJV327772:CJY327775 CTR327772:CTU327775 DDN327772:DDQ327775 DNJ327772:DNM327775 DXF327772:DXI327775 EHB327772:EHE327775 EQX327772:ERA327775 FAT327772:FAW327775 FKP327772:FKS327775 FUL327772:FUO327775 GEH327772:GEK327775 GOD327772:GOG327775 GXZ327772:GYC327775 HHV327772:HHY327775 HRR327772:HRU327775 IBN327772:IBQ327775 ILJ327772:ILM327775 IVF327772:IVI327775 JFB327772:JFE327775 JOX327772:JPA327775 JYT327772:JYW327775 KIP327772:KIS327775 KSL327772:KSO327775 LCH327772:LCK327775 LMD327772:LMG327775 LVZ327772:LWC327775 MFV327772:MFY327775 MPR327772:MPU327775 MZN327772:MZQ327775 NJJ327772:NJM327775 NTF327772:NTI327775 ODB327772:ODE327775 OMX327772:ONA327775 OWT327772:OWW327775 PGP327772:PGS327775 PQL327772:PQO327775 QAH327772:QAK327775 QKD327772:QKG327775 QTZ327772:QUC327775 RDV327772:RDY327775 RNR327772:RNU327775 RXN327772:RXQ327775 SHJ327772:SHM327775 SRF327772:SRI327775 TBB327772:TBE327775 TKX327772:TLA327775 TUT327772:TUW327775 UEP327772:UES327775 UOL327772:UOO327775 UYH327772:UYK327775 VID327772:VIG327775 VRZ327772:VSC327775 WBV327772:WBY327775 WLR327772:WLU327775 WVN327772:WVQ327775 F393308:I393311 JB393308:JE393311 SX393308:TA393311 ACT393308:ACW393311 AMP393308:AMS393311 AWL393308:AWO393311 BGH393308:BGK393311 BQD393308:BQG393311 BZZ393308:CAC393311 CJV393308:CJY393311 CTR393308:CTU393311 DDN393308:DDQ393311 DNJ393308:DNM393311 DXF393308:DXI393311 EHB393308:EHE393311 EQX393308:ERA393311 FAT393308:FAW393311 FKP393308:FKS393311 FUL393308:FUO393311 GEH393308:GEK393311 GOD393308:GOG393311 GXZ393308:GYC393311 HHV393308:HHY393311 HRR393308:HRU393311 IBN393308:IBQ393311 ILJ393308:ILM393311 IVF393308:IVI393311 JFB393308:JFE393311 JOX393308:JPA393311 JYT393308:JYW393311 KIP393308:KIS393311 KSL393308:KSO393311 LCH393308:LCK393311 LMD393308:LMG393311 LVZ393308:LWC393311 MFV393308:MFY393311 MPR393308:MPU393311 MZN393308:MZQ393311 NJJ393308:NJM393311 NTF393308:NTI393311 ODB393308:ODE393311 OMX393308:ONA393311 OWT393308:OWW393311 PGP393308:PGS393311 PQL393308:PQO393311 QAH393308:QAK393311 QKD393308:QKG393311 QTZ393308:QUC393311 RDV393308:RDY393311 RNR393308:RNU393311 RXN393308:RXQ393311 SHJ393308:SHM393311 SRF393308:SRI393311 TBB393308:TBE393311 TKX393308:TLA393311 TUT393308:TUW393311 UEP393308:UES393311 UOL393308:UOO393311 UYH393308:UYK393311 VID393308:VIG393311 VRZ393308:VSC393311 WBV393308:WBY393311 WLR393308:WLU393311 WVN393308:WVQ393311 F458844:I458847 JB458844:JE458847 SX458844:TA458847 ACT458844:ACW458847 AMP458844:AMS458847 AWL458844:AWO458847 BGH458844:BGK458847 BQD458844:BQG458847 BZZ458844:CAC458847 CJV458844:CJY458847 CTR458844:CTU458847 DDN458844:DDQ458847 DNJ458844:DNM458847 DXF458844:DXI458847 EHB458844:EHE458847 EQX458844:ERA458847 FAT458844:FAW458847 FKP458844:FKS458847 FUL458844:FUO458847 GEH458844:GEK458847 GOD458844:GOG458847 GXZ458844:GYC458847 HHV458844:HHY458847 HRR458844:HRU458847 IBN458844:IBQ458847 ILJ458844:ILM458847 IVF458844:IVI458847 JFB458844:JFE458847 JOX458844:JPA458847 JYT458844:JYW458847 KIP458844:KIS458847 KSL458844:KSO458847 LCH458844:LCK458847 LMD458844:LMG458847 LVZ458844:LWC458847 MFV458844:MFY458847 MPR458844:MPU458847 MZN458844:MZQ458847 NJJ458844:NJM458847 NTF458844:NTI458847 ODB458844:ODE458847 OMX458844:ONA458847 OWT458844:OWW458847 PGP458844:PGS458847 PQL458844:PQO458847 QAH458844:QAK458847 QKD458844:QKG458847 QTZ458844:QUC458847 RDV458844:RDY458847 RNR458844:RNU458847 RXN458844:RXQ458847 SHJ458844:SHM458847 SRF458844:SRI458847 TBB458844:TBE458847 TKX458844:TLA458847 TUT458844:TUW458847 UEP458844:UES458847 UOL458844:UOO458847 UYH458844:UYK458847 VID458844:VIG458847 VRZ458844:VSC458847 WBV458844:WBY458847 WLR458844:WLU458847 WVN458844:WVQ458847 F524380:I524383 JB524380:JE524383 SX524380:TA524383 ACT524380:ACW524383 AMP524380:AMS524383 AWL524380:AWO524383 BGH524380:BGK524383 BQD524380:BQG524383 BZZ524380:CAC524383 CJV524380:CJY524383 CTR524380:CTU524383 DDN524380:DDQ524383 DNJ524380:DNM524383 DXF524380:DXI524383 EHB524380:EHE524383 EQX524380:ERA524383 FAT524380:FAW524383 FKP524380:FKS524383 FUL524380:FUO524383 GEH524380:GEK524383 GOD524380:GOG524383 GXZ524380:GYC524383 HHV524380:HHY524383 HRR524380:HRU524383 IBN524380:IBQ524383 ILJ524380:ILM524383 IVF524380:IVI524383 JFB524380:JFE524383 JOX524380:JPA524383 JYT524380:JYW524383 KIP524380:KIS524383 KSL524380:KSO524383 LCH524380:LCK524383 LMD524380:LMG524383 LVZ524380:LWC524383 MFV524380:MFY524383 MPR524380:MPU524383 MZN524380:MZQ524383 NJJ524380:NJM524383 NTF524380:NTI524383 ODB524380:ODE524383 OMX524380:ONA524383 OWT524380:OWW524383 PGP524380:PGS524383 PQL524380:PQO524383 QAH524380:QAK524383 QKD524380:QKG524383 QTZ524380:QUC524383 RDV524380:RDY524383 RNR524380:RNU524383 RXN524380:RXQ524383 SHJ524380:SHM524383 SRF524380:SRI524383 TBB524380:TBE524383 TKX524380:TLA524383 TUT524380:TUW524383 UEP524380:UES524383 UOL524380:UOO524383 UYH524380:UYK524383 VID524380:VIG524383 VRZ524380:VSC524383 WBV524380:WBY524383 WLR524380:WLU524383 WVN524380:WVQ524383 F589916:I589919 JB589916:JE589919 SX589916:TA589919 ACT589916:ACW589919 AMP589916:AMS589919 AWL589916:AWO589919 BGH589916:BGK589919 BQD589916:BQG589919 BZZ589916:CAC589919 CJV589916:CJY589919 CTR589916:CTU589919 DDN589916:DDQ589919 DNJ589916:DNM589919 DXF589916:DXI589919 EHB589916:EHE589919 EQX589916:ERA589919 FAT589916:FAW589919 FKP589916:FKS589919 FUL589916:FUO589919 GEH589916:GEK589919 GOD589916:GOG589919 GXZ589916:GYC589919 HHV589916:HHY589919 HRR589916:HRU589919 IBN589916:IBQ589919 ILJ589916:ILM589919 IVF589916:IVI589919 JFB589916:JFE589919 JOX589916:JPA589919 JYT589916:JYW589919 KIP589916:KIS589919 KSL589916:KSO589919 LCH589916:LCK589919 LMD589916:LMG589919 LVZ589916:LWC589919 MFV589916:MFY589919 MPR589916:MPU589919 MZN589916:MZQ589919 NJJ589916:NJM589919 NTF589916:NTI589919 ODB589916:ODE589919 OMX589916:ONA589919 OWT589916:OWW589919 PGP589916:PGS589919 PQL589916:PQO589919 QAH589916:QAK589919 QKD589916:QKG589919 QTZ589916:QUC589919 RDV589916:RDY589919 RNR589916:RNU589919 RXN589916:RXQ589919 SHJ589916:SHM589919 SRF589916:SRI589919 TBB589916:TBE589919 TKX589916:TLA589919 TUT589916:TUW589919 UEP589916:UES589919 UOL589916:UOO589919 UYH589916:UYK589919 VID589916:VIG589919 VRZ589916:VSC589919 WBV589916:WBY589919 WLR589916:WLU589919 WVN589916:WVQ589919 F655452:I655455 JB655452:JE655455 SX655452:TA655455 ACT655452:ACW655455 AMP655452:AMS655455 AWL655452:AWO655455 BGH655452:BGK655455 BQD655452:BQG655455 BZZ655452:CAC655455 CJV655452:CJY655455 CTR655452:CTU655455 DDN655452:DDQ655455 DNJ655452:DNM655455 DXF655452:DXI655455 EHB655452:EHE655455 EQX655452:ERA655455 FAT655452:FAW655455 FKP655452:FKS655455 FUL655452:FUO655455 GEH655452:GEK655455 GOD655452:GOG655455 GXZ655452:GYC655455 HHV655452:HHY655455 HRR655452:HRU655455 IBN655452:IBQ655455 ILJ655452:ILM655455 IVF655452:IVI655455 JFB655452:JFE655455 JOX655452:JPA655455 JYT655452:JYW655455 KIP655452:KIS655455 KSL655452:KSO655455 LCH655452:LCK655455 LMD655452:LMG655455 LVZ655452:LWC655455 MFV655452:MFY655455 MPR655452:MPU655455 MZN655452:MZQ655455 NJJ655452:NJM655455 NTF655452:NTI655455 ODB655452:ODE655455 OMX655452:ONA655455 OWT655452:OWW655455 PGP655452:PGS655455 PQL655452:PQO655455 QAH655452:QAK655455 QKD655452:QKG655455 QTZ655452:QUC655455 RDV655452:RDY655455 RNR655452:RNU655455 RXN655452:RXQ655455 SHJ655452:SHM655455 SRF655452:SRI655455 TBB655452:TBE655455 TKX655452:TLA655455 TUT655452:TUW655455 UEP655452:UES655455 UOL655452:UOO655455 UYH655452:UYK655455 VID655452:VIG655455 VRZ655452:VSC655455 WBV655452:WBY655455 WLR655452:WLU655455 WVN655452:WVQ655455 F720988:I720991 JB720988:JE720991 SX720988:TA720991 ACT720988:ACW720991 AMP720988:AMS720991 AWL720988:AWO720991 BGH720988:BGK720991 BQD720988:BQG720991 BZZ720988:CAC720991 CJV720988:CJY720991 CTR720988:CTU720991 DDN720988:DDQ720991 DNJ720988:DNM720991 DXF720988:DXI720991 EHB720988:EHE720991 EQX720988:ERA720991 FAT720988:FAW720991 FKP720988:FKS720991 FUL720988:FUO720991 GEH720988:GEK720991 GOD720988:GOG720991 GXZ720988:GYC720991 HHV720988:HHY720991 HRR720988:HRU720991 IBN720988:IBQ720991 ILJ720988:ILM720991 IVF720988:IVI720991 JFB720988:JFE720991 JOX720988:JPA720991 JYT720988:JYW720991 KIP720988:KIS720991 KSL720988:KSO720991 LCH720988:LCK720991 LMD720988:LMG720991 LVZ720988:LWC720991 MFV720988:MFY720991 MPR720988:MPU720991 MZN720988:MZQ720991 NJJ720988:NJM720991 NTF720988:NTI720991 ODB720988:ODE720991 OMX720988:ONA720991 OWT720988:OWW720991 PGP720988:PGS720991 PQL720988:PQO720991 QAH720988:QAK720991 QKD720988:QKG720991 QTZ720988:QUC720991 RDV720988:RDY720991 RNR720988:RNU720991 RXN720988:RXQ720991 SHJ720988:SHM720991 SRF720988:SRI720991 TBB720988:TBE720991 TKX720988:TLA720991 TUT720988:TUW720991 UEP720988:UES720991 UOL720988:UOO720991 UYH720988:UYK720991 VID720988:VIG720991 VRZ720988:VSC720991 WBV720988:WBY720991 WLR720988:WLU720991 WVN720988:WVQ720991 F786524:I786527 JB786524:JE786527 SX786524:TA786527 ACT786524:ACW786527 AMP786524:AMS786527 AWL786524:AWO786527 BGH786524:BGK786527 BQD786524:BQG786527 BZZ786524:CAC786527 CJV786524:CJY786527 CTR786524:CTU786527 DDN786524:DDQ786527 DNJ786524:DNM786527 DXF786524:DXI786527 EHB786524:EHE786527 EQX786524:ERA786527 FAT786524:FAW786527 FKP786524:FKS786527 FUL786524:FUO786527 GEH786524:GEK786527 GOD786524:GOG786527 GXZ786524:GYC786527 HHV786524:HHY786527 HRR786524:HRU786527 IBN786524:IBQ786527 ILJ786524:ILM786527 IVF786524:IVI786527 JFB786524:JFE786527 JOX786524:JPA786527 JYT786524:JYW786527 KIP786524:KIS786527 KSL786524:KSO786527 LCH786524:LCK786527 LMD786524:LMG786527 LVZ786524:LWC786527 MFV786524:MFY786527 MPR786524:MPU786527 MZN786524:MZQ786527 NJJ786524:NJM786527 NTF786524:NTI786527 ODB786524:ODE786527 OMX786524:ONA786527 OWT786524:OWW786527 PGP786524:PGS786527 PQL786524:PQO786527 QAH786524:QAK786527 QKD786524:QKG786527 QTZ786524:QUC786527 RDV786524:RDY786527 RNR786524:RNU786527 RXN786524:RXQ786527 SHJ786524:SHM786527 SRF786524:SRI786527 TBB786524:TBE786527 TKX786524:TLA786527 TUT786524:TUW786527 UEP786524:UES786527 UOL786524:UOO786527 UYH786524:UYK786527 VID786524:VIG786527 VRZ786524:VSC786527 WBV786524:WBY786527 WLR786524:WLU786527 WVN786524:WVQ786527 F852060:I852063 JB852060:JE852063 SX852060:TA852063 ACT852060:ACW852063 AMP852060:AMS852063 AWL852060:AWO852063 BGH852060:BGK852063 BQD852060:BQG852063 BZZ852060:CAC852063 CJV852060:CJY852063 CTR852060:CTU852063 DDN852060:DDQ852063 DNJ852060:DNM852063 DXF852060:DXI852063 EHB852060:EHE852063 EQX852060:ERA852063 FAT852060:FAW852063 FKP852060:FKS852063 FUL852060:FUO852063 GEH852060:GEK852063 GOD852060:GOG852063 GXZ852060:GYC852063 HHV852060:HHY852063 HRR852060:HRU852063 IBN852060:IBQ852063 ILJ852060:ILM852063 IVF852060:IVI852063 JFB852060:JFE852063 JOX852060:JPA852063 JYT852060:JYW852063 KIP852060:KIS852063 KSL852060:KSO852063 LCH852060:LCK852063 LMD852060:LMG852063 LVZ852060:LWC852063 MFV852060:MFY852063 MPR852060:MPU852063 MZN852060:MZQ852063 NJJ852060:NJM852063 NTF852060:NTI852063 ODB852060:ODE852063 OMX852060:ONA852063 OWT852060:OWW852063 PGP852060:PGS852063 PQL852060:PQO852063 QAH852060:QAK852063 QKD852060:QKG852063 QTZ852060:QUC852063 RDV852060:RDY852063 RNR852060:RNU852063 RXN852060:RXQ852063 SHJ852060:SHM852063 SRF852060:SRI852063 TBB852060:TBE852063 TKX852060:TLA852063 TUT852060:TUW852063 UEP852060:UES852063 UOL852060:UOO852063 UYH852060:UYK852063 VID852060:VIG852063 VRZ852060:VSC852063 WBV852060:WBY852063 WLR852060:WLU852063 WVN852060:WVQ852063 F917596:I917599 JB917596:JE917599 SX917596:TA917599 ACT917596:ACW917599 AMP917596:AMS917599 AWL917596:AWO917599 BGH917596:BGK917599 BQD917596:BQG917599 BZZ917596:CAC917599 CJV917596:CJY917599 CTR917596:CTU917599 DDN917596:DDQ917599 DNJ917596:DNM917599 DXF917596:DXI917599 EHB917596:EHE917599 EQX917596:ERA917599 FAT917596:FAW917599 FKP917596:FKS917599 FUL917596:FUO917599 GEH917596:GEK917599 GOD917596:GOG917599 GXZ917596:GYC917599 HHV917596:HHY917599 HRR917596:HRU917599 IBN917596:IBQ917599 ILJ917596:ILM917599 IVF917596:IVI917599 JFB917596:JFE917599 JOX917596:JPA917599 JYT917596:JYW917599 KIP917596:KIS917599 KSL917596:KSO917599 LCH917596:LCK917599 LMD917596:LMG917599 LVZ917596:LWC917599 MFV917596:MFY917599 MPR917596:MPU917599 MZN917596:MZQ917599 NJJ917596:NJM917599 NTF917596:NTI917599 ODB917596:ODE917599 OMX917596:ONA917599 OWT917596:OWW917599 PGP917596:PGS917599 PQL917596:PQO917599 QAH917596:QAK917599 QKD917596:QKG917599 QTZ917596:QUC917599 RDV917596:RDY917599 RNR917596:RNU917599 RXN917596:RXQ917599 SHJ917596:SHM917599 SRF917596:SRI917599 TBB917596:TBE917599 TKX917596:TLA917599 TUT917596:TUW917599 UEP917596:UES917599 UOL917596:UOO917599 UYH917596:UYK917599 VID917596:VIG917599 VRZ917596:VSC917599 WBV917596:WBY917599 WLR917596:WLU917599 WVN917596:WVQ917599 F983132:I983135 JB983132:JE983135 SX983132:TA983135 ACT983132:ACW983135 AMP983132:AMS983135 AWL983132:AWO983135 BGH983132:BGK983135 BQD983132:BQG983135 BZZ983132:CAC983135 CJV983132:CJY983135 CTR983132:CTU983135 DDN983132:DDQ983135 DNJ983132:DNM983135 DXF983132:DXI983135 EHB983132:EHE983135 EQX983132:ERA983135 FAT983132:FAW983135 FKP983132:FKS983135 FUL983132:FUO983135 GEH983132:GEK983135 GOD983132:GOG983135 GXZ983132:GYC983135 HHV983132:HHY983135 HRR983132:HRU983135 IBN983132:IBQ983135 ILJ983132:ILM983135 IVF983132:IVI983135 JFB983132:JFE983135 JOX983132:JPA983135 JYT983132:JYW983135 KIP983132:KIS983135 KSL983132:KSO983135 LCH983132:LCK983135 LMD983132:LMG983135 LVZ983132:LWC983135 MFV983132:MFY983135 MPR983132:MPU983135 MZN983132:MZQ983135 NJJ983132:NJM983135 NTF983132:NTI983135 ODB983132:ODE983135 OMX983132:ONA983135 OWT983132:OWW983135 PGP983132:PGS983135 PQL983132:PQO983135 QAH983132:QAK983135 QKD983132:QKG983135 QTZ983132:QUC983135 RDV983132:RDY983135 RNR983132:RNU983135 RXN983132:RXQ983135 SHJ983132:SHM983135 SRF983132:SRI983135 TBB983132:TBE983135 TKX983132:TLA983135 TUT983132:TUW983135 UEP983132:UES983135 UOL983132:UOO983135 UYH983132:UYK983135 VID983132:VIG983135 VRZ983132:VSC983135 WBV983132:WBY983135 WLR983132:WLU983135 WVN983132:WVQ983135 JB76:JE83 SX76:TA83 ACT76:ACW83 AMP76:AMS83 AWL76:AWO83 BGH76:BGK83 BQD76:BQG83 BZZ76:CAC83 CJV76:CJY83 CTR76:CTU83 DDN76:DDQ83 DNJ76:DNM83 DXF76:DXI83 EHB76:EHE83 EQX76:ERA83 FAT76:FAW83 FKP76:FKS83 FUL76:FUO83 GEH76:GEK83 GOD76:GOG83 GXZ76:GYC83 HHV76:HHY83 HRR76:HRU83 IBN76:IBQ83 ILJ76:ILM83 IVF76:IVI83 JFB76:JFE83 JOX76:JPA83 JYT76:JYW83 KIP76:KIS83 KSL76:KSO83 LCH76:LCK83 LMD76:LMG83 LVZ76:LWC83 MFV76:MFY83 MPR76:MPU83 MZN76:MZQ83 NJJ76:NJM83 NTF76:NTI83 ODB76:ODE83 OMX76:ONA83 OWT76:OWW83 PGP76:PGS83 PQL76:PQO83 QAH76:QAK83 QKD76:QKG83 QTZ76:QUC83 RDV76:RDY83 RNR76:RNU83 RXN76:RXQ83 SHJ76:SHM83 SRF76:SRI83 TBB76:TBE83 TKX76:TLA83 TUT76:TUW83 UEP76:UES83 UOL76:UOO83 UYH76:UYK83 VID76:VIG83 VRZ76:VSC83 WBV76:WBY83 WLR76:WLU83 WVN76:WVQ83 F65612:I65619 JB65612:JE65619 SX65612:TA65619 ACT65612:ACW65619 AMP65612:AMS65619 AWL65612:AWO65619 BGH65612:BGK65619 BQD65612:BQG65619 BZZ65612:CAC65619 CJV65612:CJY65619 CTR65612:CTU65619 DDN65612:DDQ65619 DNJ65612:DNM65619 DXF65612:DXI65619 EHB65612:EHE65619 EQX65612:ERA65619 FAT65612:FAW65619 FKP65612:FKS65619 FUL65612:FUO65619 GEH65612:GEK65619 GOD65612:GOG65619 GXZ65612:GYC65619 HHV65612:HHY65619 HRR65612:HRU65619 IBN65612:IBQ65619 ILJ65612:ILM65619 IVF65612:IVI65619 JFB65612:JFE65619 JOX65612:JPA65619 JYT65612:JYW65619 KIP65612:KIS65619 KSL65612:KSO65619 LCH65612:LCK65619 LMD65612:LMG65619 LVZ65612:LWC65619 MFV65612:MFY65619 MPR65612:MPU65619 MZN65612:MZQ65619 NJJ65612:NJM65619 NTF65612:NTI65619 ODB65612:ODE65619 OMX65612:ONA65619 OWT65612:OWW65619 PGP65612:PGS65619 PQL65612:PQO65619 QAH65612:QAK65619 QKD65612:QKG65619 QTZ65612:QUC65619 RDV65612:RDY65619 RNR65612:RNU65619 RXN65612:RXQ65619 SHJ65612:SHM65619 SRF65612:SRI65619 TBB65612:TBE65619 TKX65612:TLA65619 TUT65612:TUW65619 UEP65612:UES65619 UOL65612:UOO65619 UYH65612:UYK65619 VID65612:VIG65619 VRZ65612:VSC65619 WBV65612:WBY65619 WLR65612:WLU65619 WVN65612:WVQ65619 F131148:I131155 JB131148:JE131155 SX131148:TA131155 ACT131148:ACW131155 AMP131148:AMS131155 AWL131148:AWO131155 BGH131148:BGK131155 BQD131148:BQG131155 BZZ131148:CAC131155 CJV131148:CJY131155 CTR131148:CTU131155 DDN131148:DDQ131155 DNJ131148:DNM131155 DXF131148:DXI131155 EHB131148:EHE131155 EQX131148:ERA131155 FAT131148:FAW131155 FKP131148:FKS131155 FUL131148:FUO131155 GEH131148:GEK131155 GOD131148:GOG131155 GXZ131148:GYC131155 HHV131148:HHY131155 HRR131148:HRU131155 IBN131148:IBQ131155 ILJ131148:ILM131155 IVF131148:IVI131155 JFB131148:JFE131155 JOX131148:JPA131155 JYT131148:JYW131155 KIP131148:KIS131155 KSL131148:KSO131155 LCH131148:LCK131155 LMD131148:LMG131155 LVZ131148:LWC131155 MFV131148:MFY131155 MPR131148:MPU131155 MZN131148:MZQ131155 NJJ131148:NJM131155 NTF131148:NTI131155 ODB131148:ODE131155 OMX131148:ONA131155 OWT131148:OWW131155 PGP131148:PGS131155 PQL131148:PQO131155 QAH131148:QAK131155 QKD131148:QKG131155 QTZ131148:QUC131155 RDV131148:RDY131155 RNR131148:RNU131155 RXN131148:RXQ131155 SHJ131148:SHM131155 SRF131148:SRI131155 TBB131148:TBE131155 TKX131148:TLA131155 TUT131148:TUW131155 UEP131148:UES131155 UOL131148:UOO131155 UYH131148:UYK131155 VID131148:VIG131155 VRZ131148:VSC131155 WBV131148:WBY131155 WLR131148:WLU131155 WVN131148:WVQ131155 F196684:I196691 JB196684:JE196691 SX196684:TA196691 ACT196684:ACW196691 AMP196684:AMS196691 AWL196684:AWO196691 BGH196684:BGK196691 BQD196684:BQG196691 BZZ196684:CAC196691 CJV196684:CJY196691 CTR196684:CTU196691 DDN196684:DDQ196691 DNJ196684:DNM196691 DXF196684:DXI196691 EHB196684:EHE196691 EQX196684:ERA196691 FAT196684:FAW196691 FKP196684:FKS196691 FUL196684:FUO196691 GEH196684:GEK196691 GOD196684:GOG196691 GXZ196684:GYC196691 HHV196684:HHY196691 HRR196684:HRU196691 IBN196684:IBQ196691 ILJ196684:ILM196691 IVF196684:IVI196691 JFB196684:JFE196691 JOX196684:JPA196691 JYT196684:JYW196691 KIP196684:KIS196691 KSL196684:KSO196691 LCH196684:LCK196691 LMD196684:LMG196691 LVZ196684:LWC196691 MFV196684:MFY196691 MPR196684:MPU196691 MZN196684:MZQ196691 NJJ196684:NJM196691 NTF196684:NTI196691 ODB196684:ODE196691 OMX196684:ONA196691 OWT196684:OWW196691 PGP196684:PGS196691 PQL196684:PQO196691 QAH196684:QAK196691 QKD196684:QKG196691 QTZ196684:QUC196691 RDV196684:RDY196691 RNR196684:RNU196691 RXN196684:RXQ196691 SHJ196684:SHM196691 SRF196684:SRI196691 TBB196684:TBE196691 TKX196684:TLA196691 TUT196684:TUW196691 UEP196684:UES196691 UOL196684:UOO196691 UYH196684:UYK196691 VID196684:VIG196691 VRZ196684:VSC196691 WBV196684:WBY196691 WLR196684:WLU196691 WVN196684:WVQ196691 F262220:I262227 JB262220:JE262227 SX262220:TA262227 ACT262220:ACW262227 AMP262220:AMS262227 AWL262220:AWO262227 BGH262220:BGK262227 BQD262220:BQG262227 BZZ262220:CAC262227 CJV262220:CJY262227 CTR262220:CTU262227 DDN262220:DDQ262227 DNJ262220:DNM262227 DXF262220:DXI262227 EHB262220:EHE262227 EQX262220:ERA262227 FAT262220:FAW262227 FKP262220:FKS262227 FUL262220:FUO262227 GEH262220:GEK262227 GOD262220:GOG262227 GXZ262220:GYC262227 HHV262220:HHY262227 HRR262220:HRU262227 IBN262220:IBQ262227 ILJ262220:ILM262227 IVF262220:IVI262227 JFB262220:JFE262227 JOX262220:JPA262227 JYT262220:JYW262227 KIP262220:KIS262227 KSL262220:KSO262227 LCH262220:LCK262227 LMD262220:LMG262227 LVZ262220:LWC262227 MFV262220:MFY262227 MPR262220:MPU262227 MZN262220:MZQ262227 NJJ262220:NJM262227 NTF262220:NTI262227 ODB262220:ODE262227 OMX262220:ONA262227 OWT262220:OWW262227 PGP262220:PGS262227 PQL262220:PQO262227 QAH262220:QAK262227 QKD262220:QKG262227 QTZ262220:QUC262227 RDV262220:RDY262227 RNR262220:RNU262227 RXN262220:RXQ262227 SHJ262220:SHM262227 SRF262220:SRI262227 TBB262220:TBE262227 TKX262220:TLA262227 TUT262220:TUW262227 UEP262220:UES262227 UOL262220:UOO262227 UYH262220:UYK262227 VID262220:VIG262227 VRZ262220:VSC262227 WBV262220:WBY262227 WLR262220:WLU262227 WVN262220:WVQ262227 F327756:I327763 JB327756:JE327763 SX327756:TA327763 ACT327756:ACW327763 AMP327756:AMS327763 AWL327756:AWO327763 BGH327756:BGK327763 BQD327756:BQG327763 BZZ327756:CAC327763 CJV327756:CJY327763 CTR327756:CTU327763 DDN327756:DDQ327763 DNJ327756:DNM327763 DXF327756:DXI327763 EHB327756:EHE327763 EQX327756:ERA327763 FAT327756:FAW327763 FKP327756:FKS327763 FUL327756:FUO327763 GEH327756:GEK327763 GOD327756:GOG327763 GXZ327756:GYC327763 HHV327756:HHY327763 HRR327756:HRU327763 IBN327756:IBQ327763 ILJ327756:ILM327763 IVF327756:IVI327763 JFB327756:JFE327763 JOX327756:JPA327763 JYT327756:JYW327763 KIP327756:KIS327763 KSL327756:KSO327763 LCH327756:LCK327763 LMD327756:LMG327763 LVZ327756:LWC327763 MFV327756:MFY327763 MPR327756:MPU327763 MZN327756:MZQ327763 NJJ327756:NJM327763 NTF327756:NTI327763 ODB327756:ODE327763 OMX327756:ONA327763 OWT327756:OWW327763 PGP327756:PGS327763 PQL327756:PQO327763 QAH327756:QAK327763 QKD327756:QKG327763 QTZ327756:QUC327763 RDV327756:RDY327763 RNR327756:RNU327763 RXN327756:RXQ327763 SHJ327756:SHM327763 SRF327756:SRI327763 TBB327756:TBE327763 TKX327756:TLA327763 TUT327756:TUW327763 UEP327756:UES327763 UOL327756:UOO327763 UYH327756:UYK327763 VID327756:VIG327763 VRZ327756:VSC327763 WBV327756:WBY327763 WLR327756:WLU327763 WVN327756:WVQ327763 F393292:I393299 JB393292:JE393299 SX393292:TA393299 ACT393292:ACW393299 AMP393292:AMS393299 AWL393292:AWO393299 BGH393292:BGK393299 BQD393292:BQG393299 BZZ393292:CAC393299 CJV393292:CJY393299 CTR393292:CTU393299 DDN393292:DDQ393299 DNJ393292:DNM393299 DXF393292:DXI393299 EHB393292:EHE393299 EQX393292:ERA393299 FAT393292:FAW393299 FKP393292:FKS393299 FUL393292:FUO393299 GEH393292:GEK393299 GOD393292:GOG393299 GXZ393292:GYC393299 HHV393292:HHY393299 HRR393292:HRU393299 IBN393292:IBQ393299 ILJ393292:ILM393299 IVF393292:IVI393299 JFB393292:JFE393299 JOX393292:JPA393299 JYT393292:JYW393299 KIP393292:KIS393299 KSL393292:KSO393299 LCH393292:LCK393299 LMD393292:LMG393299 LVZ393292:LWC393299 MFV393292:MFY393299 MPR393292:MPU393299 MZN393292:MZQ393299 NJJ393292:NJM393299 NTF393292:NTI393299 ODB393292:ODE393299 OMX393292:ONA393299 OWT393292:OWW393299 PGP393292:PGS393299 PQL393292:PQO393299 QAH393292:QAK393299 QKD393292:QKG393299 QTZ393292:QUC393299 RDV393292:RDY393299 RNR393292:RNU393299 RXN393292:RXQ393299 SHJ393292:SHM393299 SRF393292:SRI393299 TBB393292:TBE393299 TKX393292:TLA393299 TUT393292:TUW393299 UEP393292:UES393299 UOL393292:UOO393299 UYH393292:UYK393299 VID393292:VIG393299 VRZ393292:VSC393299 WBV393292:WBY393299 WLR393292:WLU393299 WVN393292:WVQ393299 F458828:I458835 JB458828:JE458835 SX458828:TA458835 ACT458828:ACW458835 AMP458828:AMS458835 AWL458828:AWO458835 BGH458828:BGK458835 BQD458828:BQG458835 BZZ458828:CAC458835 CJV458828:CJY458835 CTR458828:CTU458835 DDN458828:DDQ458835 DNJ458828:DNM458835 DXF458828:DXI458835 EHB458828:EHE458835 EQX458828:ERA458835 FAT458828:FAW458835 FKP458828:FKS458835 FUL458828:FUO458835 GEH458828:GEK458835 GOD458828:GOG458835 GXZ458828:GYC458835 HHV458828:HHY458835 HRR458828:HRU458835 IBN458828:IBQ458835 ILJ458828:ILM458835 IVF458828:IVI458835 JFB458828:JFE458835 JOX458828:JPA458835 JYT458828:JYW458835 KIP458828:KIS458835 KSL458828:KSO458835 LCH458828:LCK458835 LMD458828:LMG458835 LVZ458828:LWC458835 MFV458828:MFY458835 MPR458828:MPU458835 MZN458828:MZQ458835 NJJ458828:NJM458835 NTF458828:NTI458835 ODB458828:ODE458835 OMX458828:ONA458835 OWT458828:OWW458835 PGP458828:PGS458835 PQL458828:PQO458835 QAH458828:QAK458835 QKD458828:QKG458835 QTZ458828:QUC458835 RDV458828:RDY458835 RNR458828:RNU458835 RXN458828:RXQ458835 SHJ458828:SHM458835 SRF458828:SRI458835 TBB458828:TBE458835 TKX458828:TLA458835 TUT458828:TUW458835 UEP458828:UES458835 UOL458828:UOO458835 UYH458828:UYK458835 VID458828:VIG458835 VRZ458828:VSC458835 WBV458828:WBY458835 WLR458828:WLU458835 WVN458828:WVQ458835 F524364:I524371 JB524364:JE524371 SX524364:TA524371 ACT524364:ACW524371 AMP524364:AMS524371 AWL524364:AWO524371 BGH524364:BGK524371 BQD524364:BQG524371 BZZ524364:CAC524371 CJV524364:CJY524371 CTR524364:CTU524371 DDN524364:DDQ524371 DNJ524364:DNM524371 DXF524364:DXI524371 EHB524364:EHE524371 EQX524364:ERA524371 FAT524364:FAW524371 FKP524364:FKS524371 FUL524364:FUO524371 GEH524364:GEK524371 GOD524364:GOG524371 GXZ524364:GYC524371 HHV524364:HHY524371 HRR524364:HRU524371 IBN524364:IBQ524371 ILJ524364:ILM524371 IVF524364:IVI524371 JFB524364:JFE524371 JOX524364:JPA524371 JYT524364:JYW524371 KIP524364:KIS524371 KSL524364:KSO524371 LCH524364:LCK524371 LMD524364:LMG524371 LVZ524364:LWC524371 MFV524364:MFY524371 MPR524364:MPU524371 MZN524364:MZQ524371 NJJ524364:NJM524371 NTF524364:NTI524371 ODB524364:ODE524371 OMX524364:ONA524371 OWT524364:OWW524371 PGP524364:PGS524371 PQL524364:PQO524371 QAH524364:QAK524371 QKD524364:QKG524371 QTZ524364:QUC524371 RDV524364:RDY524371 RNR524364:RNU524371 RXN524364:RXQ524371 SHJ524364:SHM524371 SRF524364:SRI524371 TBB524364:TBE524371 TKX524364:TLA524371 TUT524364:TUW524371 UEP524364:UES524371 UOL524364:UOO524371 UYH524364:UYK524371 VID524364:VIG524371 VRZ524364:VSC524371 WBV524364:WBY524371 WLR524364:WLU524371 WVN524364:WVQ524371 F589900:I589907 JB589900:JE589907 SX589900:TA589907 ACT589900:ACW589907 AMP589900:AMS589907 AWL589900:AWO589907 BGH589900:BGK589907 BQD589900:BQG589907 BZZ589900:CAC589907 CJV589900:CJY589907 CTR589900:CTU589907 DDN589900:DDQ589907 DNJ589900:DNM589907 DXF589900:DXI589907 EHB589900:EHE589907 EQX589900:ERA589907 FAT589900:FAW589907 FKP589900:FKS589907 FUL589900:FUO589907 GEH589900:GEK589907 GOD589900:GOG589907 GXZ589900:GYC589907 HHV589900:HHY589907 HRR589900:HRU589907 IBN589900:IBQ589907 ILJ589900:ILM589907 IVF589900:IVI589907 JFB589900:JFE589907 JOX589900:JPA589907 JYT589900:JYW589907 KIP589900:KIS589907 KSL589900:KSO589907 LCH589900:LCK589907 LMD589900:LMG589907 LVZ589900:LWC589907 MFV589900:MFY589907 MPR589900:MPU589907 MZN589900:MZQ589907 NJJ589900:NJM589907 NTF589900:NTI589907 ODB589900:ODE589907 OMX589900:ONA589907 OWT589900:OWW589907 PGP589900:PGS589907 PQL589900:PQO589907 QAH589900:QAK589907 QKD589900:QKG589907 QTZ589900:QUC589907 RDV589900:RDY589907 RNR589900:RNU589907 RXN589900:RXQ589907 SHJ589900:SHM589907 SRF589900:SRI589907 TBB589900:TBE589907 TKX589900:TLA589907 TUT589900:TUW589907 UEP589900:UES589907 UOL589900:UOO589907 UYH589900:UYK589907 VID589900:VIG589907 VRZ589900:VSC589907 WBV589900:WBY589907 WLR589900:WLU589907 WVN589900:WVQ589907 F655436:I655443 JB655436:JE655443 SX655436:TA655443 ACT655436:ACW655443 AMP655436:AMS655443 AWL655436:AWO655443 BGH655436:BGK655443 BQD655436:BQG655443 BZZ655436:CAC655443 CJV655436:CJY655443 CTR655436:CTU655443 DDN655436:DDQ655443 DNJ655436:DNM655443 DXF655436:DXI655443 EHB655436:EHE655443 EQX655436:ERA655443 FAT655436:FAW655443 FKP655436:FKS655443 FUL655436:FUO655443 GEH655436:GEK655443 GOD655436:GOG655443 GXZ655436:GYC655443 HHV655436:HHY655443 HRR655436:HRU655443 IBN655436:IBQ655443 ILJ655436:ILM655443 IVF655436:IVI655443 JFB655436:JFE655443 JOX655436:JPA655443 JYT655436:JYW655443 KIP655436:KIS655443 KSL655436:KSO655443 LCH655436:LCK655443 LMD655436:LMG655443 LVZ655436:LWC655443 MFV655436:MFY655443 MPR655436:MPU655443 MZN655436:MZQ655443 NJJ655436:NJM655443 NTF655436:NTI655443 ODB655436:ODE655443 OMX655436:ONA655443 OWT655436:OWW655443 PGP655436:PGS655443 PQL655436:PQO655443 QAH655436:QAK655443 QKD655436:QKG655443 QTZ655436:QUC655443 RDV655436:RDY655443 RNR655436:RNU655443 RXN655436:RXQ655443 SHJ655436:SHM655443 SRF655436:SRI655443 TBB655436:TBE655443 TKX655436:TLA655443 TUT655436:TUW655443 UEP655436:UES655443 UOL655436:UOO655443 UYH655436:UYK655443 VID655436:VIG655443 VRZ655436:VSC655443 WBV655436:WBY655443 WLR655436:WLU655443 WVN655436:WVQ655443 F720972:I720979 JB720972:JE720979 SX720972:TA720979 ACT720972:ACW720979 AMP720972:AMS720979 AWL720972:AWO720979 BGH720972:BGK720979 BQD720972:BQG720979 BZZ720972:CAC720979 CJV720972:CJY720979 CTR720972:CTU720979 DDN720972:DDQ720979 DNJ720972:DNM720979 DXF720972:DXI720979 EHB720972:EHE720979 EQX720972:ERA720979 FAT720972:FAW720979 FKP720972:FKS720979 FUL720972:FUO720979 GEH720972:GEK720979 GOD720972:GOG720979 GXZ720972:GYC720979 HHV720972:HHY720979 HRR720972:HRU720979 IBN720972:IBQ720979 ILJ720972:ILM720979 IVF720972:IVI720979 JFB720972:JFE720979 JOX720972:JPA720979 JYT720972:JYW720979 KIP720972:KIS720979 KSL720972:KSO720979 LCH720972:LCK720979 LMD720972:LMG720979 LVZ720972:LWC720979 MFV720972:MFY720979 MPR720972:MPU720979 MZN720972:MZQ720979 NJJ720972:NJM720979 NTF720972:NTI720979 ODB720972:ODE720979 OMX720972:ONA720979 OWT720972:OWW720979 PGP720972:PGS720979 PQL720972:PQO720979 QAH720972:QAK720979 QKD720972:QKG720979 QTZ720972:QUC720979 RDV720972:RDY720979 RNR720972:RNU720979 RXN720972:RXQ720979 SHJ720972:SHM720979 SRF720972:SRI720979 TBB720972:TBE720979 TKX720972:TLA720979 TUT720972:TUW720979 UEP720972:UES720979 UOL720972:UOO720979 UYH720972:UYK720979 VID720972:VIG720979 VRZ720972:VSC720979 WBV720972:WBY720979 WLR720972:WLU720979 WVN720972:WVQ720979 F786508:I786515 JB786508:JE786515 SX786508:TA786515 ACT786508:ACW786515 AMP786508:AMS786515 AWL786508:AWO786515 BGH786508:BGK786515 BQD786508:BQG786515 BZZ786508:CAC786515 CJV786508:CJY786515 CTR786508:CTU786515 DDN786508:DDQ786515 DNJ786508:DNM786515 DXF786508:DXI786515 EHB786508:EHE786515 EQX786508:ERA786515 FAT786508:FAW786515 FKP786508:FKS786515 FUL786508:FUO786515 GEH786508:GEK786515 GOD786508:GOG786515 GXZ786508:GYC786515 HHV786508:HHY786515 HRR786508:HRU786515 IBN786508:IBQ786515 ILJ786508:ILM786515 IVF786508:IVI786515 JFB786508:JFE786515 JOX786508:JPA786515 JYT786508:JYW786515 KIP786508:KIS786515 KSL786508:KSO786515 LCH786508:LCK786515 LMD786508:LMG786515 LVZ786508:LWC786515 MFV786508:MFY786515 MPR786508:MPU786515 MZN786508:MZQ786515 NJJ786508:NJM786515 NTF786508:NTI786515 ODB786508:ODE786515 OMX786508:ONA786515 OWT786508:OWW786515 PGP786508:PGS786515 PQL786508:PQO786515 QAH786508:QAK786515 QKD786508:QKG786515 QTZ786508:QUC786515 RDV786508:RDY786515 RNR786508:RNU786515 RXN786508:RXQ786515 SHJ786508:SHM786515 SRF786508:SRI786515 TBB786508:TBE786515 TKX786508:TLA786515 TUT786508:TUW786515 UEP786508:UES786515 UOL786508:UOO786515 UYH786508:UYK786515 VID786508:VIG786515 VRZ786508:VSC786515 WBV786508:WBY786515 WLR786508:WLU786515 WVN786508:WVQ786515 F852044:I852051 JB852044:JE852051 SX852044:TA852051 ACT852044:ACW852051 AMP852044:AMS852051 AWL852044:AWO852051 BGH852044:BGK852051 BQD852044:BQG852051 BZZ852044:CAC852051 CJV852044:CJY852051 CTR852044:CTU852051 DDN852044:DDQ852051 DNJ852044:DNM852051 DXF852044:DXI852051 EHB852044:EHE852051 EQX852044:ERA852051 FAT852044:FAW852051 FKP852044:FKS852051 FUL852044:FUO852051 GEH852044:GEK852051 GOD852044:GOG852051 GXZ852044:GYC852051 HHV852044:HHY852051 HRR852044:HRU852051 IBN852044:IBQ852051 ILJ852044:ILM852051 IVF852044:IVI852051 JFB852044:JFE852051 JOX852044:JPA852051 JYT852044:JYW852051 KIP852044:KIS852051 KSL852044:KSO852051 LCH852044:LCK852051 LMD852044:LMG852051 LVZ852044:LWC852051 MFV852044:MFY852051 MPR852044:MPU852051 MZN852044:MZQ852051 NJJ852044:NJM852051 NTF852044:NTI852051 ODB852044:ODE852051 OMX852044:ONA852051 OWT852044:OWW852051 PGP852044:PGS852051 PQL852044:PQO852051 QAH852044:QAK852051 QKD852044:QKG852051 QTZ852044:QUC852051 RDV852044:RDY852051 RNR852044:RNU852051 RXN852044:RXQ852051 SHJ852044:SHM852051 SRF852044:SRI852051 TBB852044:TBE852051 TKX852044:TLA852051 TUT852044:TUW852051 UEP852044:UES852051 UOL852044:UOO852051 UYH852044:UYK852051 VID852044:VIG852051 VRZ852044:VSC852051 WBV852044:WBY852051 WLR852044:WLU852051 WVN852044:WVQ852051 F917580:I917587 JB917580:JE917587 SX917580:TA917587 ACT917580:ACW917587 AMP917580:AMS917587 AWL917580:AWO917587 BGH917580:BGK917587 BQD917580:BQG917587 BZZ917580:CAC917587 CJV917580:CJY917587 CTR917580:CTU917587 DDN917580:DDQ917587 DNJ917580:DNM917587 DXF917580:DXI917587 EHB917580:EHE917587 EQX917580:ERA917587 FAT917580:FAW917587 FKP917580:FKS917587 FUL917580:FUO917587 GEH917580:GEK917587 GOD917580:GOG917587 GXZ917580:GYC917587 HHV917580:HHY917587 HRR917580:HRU917587 IBN917580:IBQ917587 ILJ917580:ILM917587 IVF917580:IVI917587 JFB917580:JFE917587 JOX917580:JPA917587 JYT917580:JYW917587 KIP917580:KIS917587 KSL917580:KSO917587 LCH917580:LCK917587 LMD917580:LMG917587 LVZ917580:LWC917587 MFV917580:MFY917587 MPR917580:MPU917587 MZN917580:MZQ917587 NJJ917580:NJM917587 NTF917580:NTI917587 ODB917580:ODE917587 OMX917580:ONA917587 OWT917580:OWW917587 PGP917580:PGS917587 PQL917580:PQO917587 QAH917580:QAK917587 QKD917580:QKG917587 QTZ917580:QUC917587 RDV917580:RDY917587 RNR917580:RNU917587 RXN917580:RXQ917587 SHJ917580:SHM917587 SRF917580:SRI917587 TBB917580:TBE917587 TKX917580:TLA917587 TUT917580:TUW917587 UEP917580:UES917587 UOL917580:UOO917587 UYH917580:UYK917587 VID917580:VIG917587 VRZ917580:VSC917587 WBV917580:WBY917587 WLR917580:WLU917587 WVN917580:WVQ917587 F983116:I983123 JB983116:JE983123 SX983116:TA983123 ACT983116:ACW983123 AMP983116:AMS983123 AWL983116:AWO983123 BGH983116:BGK983123 BQD983116:BQG983123 BZZ983116:CAC983123 CJV983116:CJY983123 CTR983116:CTU983123 DDN983116:DDQ983123 DNJ983116:DNM983123 DXF983116:DXI983123 EHB983116:EHE983123 EQX983116:ERA983123 FAT983116:FAW983123 FKP983116:FKS983123 FUL983116:FUO983123 GEH983116:GEK983123 GOD983116:GOG983123 GXZ983116:GYC983123 HHV983116:HHY983123 HRR983116:HRU983123 IBN983116:IBQ983123 ILJ983116:ILM983123 IVF983116:IVI983123 JFB983116:JFE983123 JOX983116:JPA983123 JYT983116:JYW983123 KIP983116:KIS983123 KSL983116:KSO983123 LCH983116:LCK983123 LMD983116:LMG983123 LVZ983116:LWC983123 MFV983116:MFY983123 MPR983116:MPU983123 MZN983116:MZQ983123 NJJ983116:NJM983123 NTF983116:NTI983123 ODB983116:ODE983123 OMX983116:ONA983123 OWT983116:OWW983123 PGP983116:PGS983123 PQL983116:PQO983123 QAH983116:QAK983123 QKD983116:QKG983123 QTZ983116:QUC983123 RDV983116:RDY983123 RNR983116:RNU983123 RXN983116:RXQ983123 SHJ983116:SHM983123 SRF983116:SRI983123 TBB983116:TBE983123 TKX983116:TLA983123 TUT983116:TUW983123 UEP983116:UES983123 UOL983116:UOO983123 UYH983116:UYK983123 VID983116:VIG983123 VRZ983116:VSC983123 WBV983116:WBY983123 WLR983116:WLU983123 WVN983116:WVQ983123 G8:H13 JC8:JD13 SY8:SZ13 ACU8:ACV13 AMQ8:AMR13 AWM8:AWN13 BGI8:BGJ13 BQE8:BQF13 CAA8:CAB13 CJW8:CJX13 CTS8:CTT13 DDO8:DDP13 DNK8:DNL13 DXG8:DXH13 EHC8:EHD13 EQY8:EQZ13 FAU8:FAV13 FKQ8:FKR13 FUM8:FUN13 GEI8:GEJ13 GOE8:GOF13 GYA8:GYB13 HHW8:HHX13 HRS8:HRT13 IBO8:IBP13 ILK8:ILL13 IVG8:IVH13 JFC8:JFD13 JOY8:JOZ13 JYU8:JYV13 KIQ8:KIR13 KSM8:KSN13 LCI8:LCJ13 LME8:LMF13 LWA8:LWB13 MFW8:MFX13 MPS8:MPT13 MZO8:MZP13 NJK8:NJL13 NTG8:NTH13 ODC8:ODD13 OMY8:OMZ13 OWU8:OWV13 PGQ8:PGR13 PQM8:PQN13 QAI8:QAJ13 QKE8:QKF13 QUA8:QUB13 RDW8:RDX13 RNS8:RNT13 RXO8:RXP13 SHK8:SHL13 SRG8:SRH13 TBC8:TBD13 TKY8:TKZ13 TUU8:TUV13 UEQ8:UER13 UOM8:UON13 UYI8:UYJ13 VIE8:VIF13 VSA8:VSB13 WBW8:WBX13 WLS8:WLT13 WVO8:WVP13 G65544:H65549 JC65544:JD65549 SY65544:SZ65549 ACU65544:ACV65549 AMQ65544:AMR65549 AWM65544:AWN65549 BGI65544:BGJ65549 BQE65544:BQF65549 CAA65544:CAB65549 CJW65544:CJX65549 CTS65544:CTT65549 DDO65544:DDP65549 DNK65544:DNL65549 DXG65544:DXH65549 EHC65544:EHD65549 EQY65544:EQZ65549 FAU65544:FAV65549 FKQ65544:FKR65549 FUM65544:FUN65549 GEI65544:GEJ65549 GOE65544:GOF65549 GYA65544:GYB65549 HHW65544:HHX65549 HRS65544:HRT65549 IBO65544:IBP65549 ILK65544:ILL65549 IVG65544:IVH65549 JFC65544:JFD65549 JOY65544:JOZ65549 JYU65544:JYV65549 KIQ65544:KIR65549 KSM65544:KSN65549 LCI65544:LCJ65549 LME65544:LMF65549 LWA65544:LWB65549 MFW65544:MFX65549 MPS65544:MPT65549 MZO65544:MZP65549 NJK65544:NJL65549 NTG65544:NTH65549 ODC65544:ODD65549 OMY65544:OMZ65549 OWU65544:OWV65549 PGQ65544:PGR65549 PQM65544:PQN65549 QAI65544:QAJ65549 QKE65544:QKF65549 QUA65544:QUB65549 RDW65544:RDX65549 RNS65544:RNT65549 RXO65544:RXP65549 SHK65544:SHL65549 SRG65544:SRH65549 TBC65544:TBD65549 TKY65544:TKZ65549 TUU65544:TUV65549 UEQ65544:UER65549 UOM65544:UON65549 UYI65544:UYJ65549 VIE65544:VIF65549 VSA65544:VSB65549 WBW65544:WBX65549 WLS65544:WLT65549 WVO65544:WVP65549 G131080:H131085 JC131080:JD131085 SY131080:SZ131085 ACU131080:ACV131085 AMQ131080:AMR131085 AWM131080:AWN131085 BGI131080:BGJ131085 BQE131080:BQF131085 CAA131080:CAB131085 CJW131080:CJX131085 CTS131080:CTT131085 DDO131080:DDP131085 DNK131080:DNL131085 DXG131080:DXH131085 EHC131080:EHD131085 EQY131080:EQZ131085 FAU131080:FAV131085 FKQ131080:FKR131085 FUM131080:FUN131085 GEI131080:GEJ131085 GOE131080:GOF131085 GYA131080:GYB131085 HHW131080:HHX131085 HRS131080:HRT131085 IBO131080:IBP131085 ILK131080:ILL131085 IVG131080:IVH131085 JFC131080:JFD131085 JOY131080:JOZ131085 JYU131080:JYV131085 KIQ131080:KIR131085 KSM131080:KSN131085 LCI131080:LCJ131085 LME131080:LMF131085 LWA131080:LWB131085 MFW131080:MFX131085 MPS131080:MPT131085 MZO131080:MZP131085 NJK131080:NJL131085 NTG131080:NTH131085 ODC131080:ODD131085 OMY131080:OMZ131085 OWU131080:OWV131085 PGQ131080:PGR131085 PQM131080:PQN131085 QAI131080:QAJ131085 QKE131080:QKF131085 QUA131080:QUB131085 RDW131080:RDX131085 RNS131080:RNT131085 RXO131080:RXP131085 SHK131080:SHL131085 SRG131080:SRH131085 TBC131080:TBD131085 TKY131080:TKZ131085 TUU131080:TUV131085 UEQ131080:UER131085 UOM131080:UON131085 UYI131080:UYJ131085 VIE131080:VIF131085 VSA131080:VSB131085 WBW131080:WBX131085 WLS131080:WLT131085 WVO131080:WVP131085 G196616:H196621 JC196616:JD196621 SY196616:SZ196621 ACU196616:ACV196621 AMQ196616:AMR196621 AWM196616:AWN196621 BGI196616:BGJ196621 BQE196616:BQF196621 CAA196616:CAB196621 CJW196616:CJX196621 CTS196616:CTT196621 DDO196616:DDP196621 DNK196616:DNL196621 DXG196616:DXH196621 EHC196616:EHD196621 EQY196616:EQZ196621 FAU196616:FAV196621 FKQ196616:FKR196621 FUM196616:FUN196621 GEI196616:GEJ196621 GOE196616:GOF196621 GYA196616:GYB196621 HHW196616:HHX196621 HRS196616:HRT196621 IBO196616:IBP196621 ILK196616:ILL196621 IVG196616:IVH196621 JFC196616:JFD196621 JOY196616:JOZ196621 JYU196616:JYV196621 KIQ196616:KIR196621 KSM196616:KSN196621 LCI196616:LCJ196621 LME196616:LMF196621 LWA196616:LWB196621 MFW196616:MFX196621 MPS196616:MPT196621 MZO196616:MZP196621 NJK196616:NJL196621 NTG196616:NTH196621 ODC196616:ODD196621 OMY196616:OMZ196621 OWU196616:OWV196621 PGQ196616:PGR196621 PQM196616:PQN196621 QAI196616:QAJ196621 QKE196616:QKF196621 QUA196616:QUB196621 RDW196616:RDX196621 RNS196616:RNT196621 RXO196616:RXP196621 SHK196616:SHL196621 SRG196616:SRH196621 TBC196616:TBD196621 TKY196616:TKZ196621 TUU196616:TUV196621 UEQ196616:UER196621 UOM196616:UON196621 UYI196616:UYJ196621 VIE196616:VIF196621 VSA196616:VSB196621 WBW196616:WBX196621 WLS196616:WLT196621 WVO196616:WVP196621 G262152:H262157 JC262152:JD262157 SY262152:SZ262157 ACU262152:ACV262157 AMQ262152:AMR262157 AWM262152:AWN262157 BGI262152:BGJ262157 BQE262152:BQF262157 CAA262152:CAB262157 CJW262152:CJX262157 CTS262152:CTT262157 DDO262152:DDP262157 DNK262152:DNL262157 DXG262152:DXH262157 EHC262152:EHD262157 EQY262152:EQZ262157 FAU262152:FAV262157 FKQ262152:FKR262157 FUM262152:FUN262157 GEI262152:GEJ262157 GOE262152:GOF262157 GYA262152:GYB262157 HHW262152:HHX262157 HRS262152:HRT262157 IBO262152:IBP262157 ILK262152:ILL262157 IVG262152:IVH262157 JFC262152:JFD262157 JOY262152:JOZ262157 JYU262152:JYV262157 KIQ262152:KIR262157 KSM262152:KSN262157 LCI262152:LCJ262157 LME262152:LMF262157 LWA262152:LWB262157 MFW262152:MFX262157 MPS262152:MPT262157 MZO262152:MZP262157 NJK262152:NJL262157 NTG262152:NTH262157 ODC262152:ODD262157 OMY262152:OMZ262157 OWU262152:OWV262157 PGQ262152:PGR262157 PQM262152:PQN262157 QAI262152:QAJ262157 QKE262152:QKF262157 QUA262152:QUB262157 RDW262152:RDX262157 RNS262152:RNT262157 RXO262152:RXP262157 SHK262152:SHL262157 SRG262152:SRH262157 TBC262152:TBD262157 TKY262152:TKZ262157 TUU262152:TUV262157 UEQ262152:UER262157 UOM262152:UON262157 UYI262152:UYJ262157 VIE262152:VIF262157 VSA262152:VSB262157 WBW262152:WBX262157 WLS262152:WLT262157 WVO262152:WVP262157 G327688:H327693 JC327688:JD327693 SY327688:SZ327693 ACU327688:ACV327693 AMQ327688:AMR327693 AWM327688:AWN327693 BGI327688:BGJ327693 BQE327688:BQF327693 CAA327688:CAB327693 CJW327688:CJX327693 CTS327688:CTT327693 DDO327688:DDP327693 DNK327688:DNL327693 DXG327688:DXH327693 EHC327688:EHD327693 EQY327688:EQZ327693 FAU327688:FAV327693 FKQ327688:FKR327693 FUM327688:FUN327693 GEI327688:GEJ327693 GOE327688:GOF327693 GYA327688:GYB327693 HHW327688:HHX327693 HRS327688:HRT327693 IBO327688:IBP327693 ILK327688:ILL327693 IVG327688:IVH327693 JFC327688:JFD327693 JOY327688:JOZ327693 JYU327688:JYV327693 KIQ327688:KIR327693 KSM327688:KSN327693 LCI327688:LCJ327693 LME327688:LMF327693 LWA327688:LWB327693 MFW327688:MFX327693 MPS327688:MPT327693 MZO327688:MZP327693 NJK327688:NJL327693 NTG327688:NTH327693 ODC327688:ODD327693 OMY327688:OMZ327693 OWU327688:OWV327693 PGQ327688:PGR327693 PQM327688:PQN327693 QAI327688:QAJ327693 QKE327688:QKF327693 QUA327688:QUB327693 RDW327688:RDX327693 RNS327688:RNT327693 RXO327688:RXP327693 SHK327688:SHL327693 SRG327688:SRH327693 TBC327688:TBD327693 TKY327688:TKZ327693 TUU327688:TUV327693 UEQ327688:UER327693 UOM327688:UON327693 UYI327688:UYJ327693 VIE327688:VIF327693 VSA327688:VSB327693 WBW327688:WBX327693 WLS327688:WLT327693 WVO327688:WVP327693 G393224:H393229 JC393224:JD393229 SY393224:SZ393229 ACU393224:ACV393229 AMQ393224:AMR393229 AWM393224:AWN393229 BGI393224:BGJ393229 BQE393224:BQF393229 CAA393224:CAB393229 CJW393224:CJX393229 CTS393224:CTT393229 DDO393224:DDP393229 DNK393224:DNL393229 DXG393224:DXH393229 EHC393224:EHD393229 EQY393224:EQZ393229 FAU393224:FAV393229 FKQ393224:FKR393229 FUM393224:FUN393229 GEI393224:GEJ393229 GOE393224:GOF393229 GYA393224:GYB393229 HHW393224:HHX393229 HRS393224:HRT393229 IBO393224:IBP393229 ILK393224:ILL393229 IVG393224:IVH393229 JFC393224:JFD393229 JOY393224:JOZ393229 JYU393224:JYV393229 KIQ393224:KIR393229 KSM393224:KSN393229 LCI393224:LCJ393229 LME393224:LMF393229 LWA393224:LWB393229 MFW393224:MFX393229 MPS393224:MPT393229 MZO393224:MZP393229 NJK393224:NJL393229 NTG393224:NTH393229 ODC393224:ODD393229 OMY393224:OMZ393229 OWU393224:OWV393229 PGQ393224:PGR393229 PQM393224:PQN393229 QAI393224:QAJ393229 QKE393224:QKF393229 QUA393224:QUB393229 RDW393224:RDX393229 RNS393224:RNT393229 RXO393224:RXP393229 SHK393224:SHL393229 SRG393224:SRH393229 TBC393224:TBD393229 TKY393224:TKZ393229 TUU393224:TUV393229 UEQ393224:UER393229 UOM393224:UON393229 UYI393224:UYJ393229 VIE393224:VIF393229 VSA393224:VSB393229 WBW393224:WBX393229 WLS393224:WLT393229 WVO393224:WVP393229 G458760:H458765 JC458760:JD458765 SY458760:SZ458765 ACU458760:ACV458765 AMQ458760:AMR458765 AWM458760:AWN458765 BGI458760:BGJ458765 BQE458760:BQF458765 CAA458760:CAB458765 CJW458760:CJX458765 CTS458760:CTT458765 DDO458760:DDP458765 DNK458760:DNL458765 DXG458760:DXH458765 EHC458760:EHD458765 EQY458760:EQZ458765 FAU458760:FAV458765 FKQ458760:FKR458765 FUM458760:FUN458765 GEI458760:GEJ458765 GOE458760:GOF458765 GYA458760:GYB458765 HHW458760:HHX458765 HRS458760:HRT458765 IBO458760:IBP458765 ILK458760:ILL458765 IVG458760:IVH458765 JFC458760:JFD458765 JOY458760:JOZ458765 JYU458760:JYV458765 KIQ458760:KIR458765 KSM458760:KSN458765 LCI458760:LCJ458765 LME458760:LMF458765 LWA458760:LWB458765 MFW458760:MFX458765 MPS458760:MPT458765 MZO458760:MZP458765 NJK458760:NJL458765 NTG458760:NTH458765 ODC458760:ODD458765 OMY458760:OMZ458765 OWU458760:OWV458765 PGQ458760:PGR458765 PQM458760:PQN458765 QAI458760:QAJ458765 QKE458760:QKF458765 QUA458760:QUB458765 RDW458760:RDX458765 RNS458760:RNT458765 RXO458760:RXP458765 SHK458760:SHL458765 SRG458760:SRH458765 TBC458760:TBD458765 TKY458760:TKZ458765 TUU458760:TUV458765 UEQ458760:UER458765 UOM458760:UON458765 UYI458760:UYJ458765 VIE458760:VIF458765 VSA458760:VSB458765 WBW458760:WBX458765 WLS458760:WLT458765 WVO458760:WVP458765 G524296:H524301 JC524296:JD524301 SY524296:SZ524301 ACU524296:ACV524301 AMQ524296:AMR524301 AWM524296:AWN524301 BGI524296:BGJ524301 BQE524296:BQF524301 CAA524296:CAB524301 CJW524296:CJX524301 CTS524296:CTT524301 DDO524296:DDP524301 DNK524296:DNL524301 DXG524296:DXH524301 EHC524296:EHD524301 EQY524296:EQZ524301 FAU524296:FAV524301 FKQ524296:FKR524301 FUM524296:FUN524301 GEI524296:GEJ524301 GOE524296:GOF524301 GYA524296:GYB524301 HHW524296:HHX524301 HRS524296:HRT524301 IBO524296:IBP524301 ILK524296:ILL524301 IVG524296:IVH524301 JFC524296:JFD524301 JOY524296:JOZ524301 JYU524296:JYV524301 KIQ524296:KIR524301 KSM524296:KSN524301 LCI524296:LCJ524301 LME524296:LMF524301 LWA524296:LWB524301 MFW524296:MFX524301 MPS524296:MPT524301 MZO524296:MZP524301 NJK524296:NJL524301 NTG524296:NTH524301 ODC524296:ODD524301 OMY524296:OMZ524301 OWU524296:OWV524301 PGQ524296:PGR524301 PQM524296:PQN524301 QAI524296:QAJ524301 QKE524296:QKF524301 QUA524296:QUB524301 RDW524296:RDX524301 RNS524296:RNT524301 RXO524296:RXP524301 SHK524296:SHL524301 SRG524296:SRH524301 TBC524296:TBD524301 TKY524296:TKZ524301 TUU524296:TUV524301 UEQ524296:UER524301 UOM524296:UON524301 UYI524296:UYJ524301 VIE524296:VIF524301 VSA524296:VSB524301 WBW524296:WBX524301 WLS524296:WLT524301 WVO524296:WVP524301 G589832:H589837 JC589832:JD589837 SY589832:SZ589837 ACU589832:ACV589837 AMQ589832:AMR589837 AWM589832:AWN589837 BGI589832:BGJ589837 BQE589832:BQF589837 CAA589832:CAB589837 CJW589832:CJX589837 CTS589832:CTT589837 DDO589832:DDP589837 DNK589832:DNL589837 DXG589832:DXH589837 EHC589832:EHD589837 EQY589832:EQZ589837 FAU589832:FAV589837 FKQ589832:FKR589837 FUM589832:FUN589837 GEI589832:GEJ589837 GOE589832:GOF589837 GYA589832:GYB589837 HHW589832:HHX589837 HRS589832:HRT589837 IBO589832:IBP589837 ILK589832:ILL589837 IVG589832:IVH589837 JFC589832:JFD589837 JOY589832:JOZ589837 JYU589832:JYV589837 KIQ589832:KIR589837 KSM589832:KSN589837 LCI589832:LCJ589837 LME589832:LMF589837 LWA589832:LWB589837 MFW589832:MFX589837 MPS589832:MPT589837 MZO589832:MZP589837 NJK589832:NJL589837 NTG589832:NTH589837 ODC589832:ODD589837 OMY589832:OMZ589837 OWU589832:OWV589837 PGQ589832:PGR589837 PQM589832:PQN589837 QAI589832:QAJ589837 QKE589832:QKF589837 QUA589832:QUB589837 RDW589832:RDX589837 RNS589832:RNT589837 RXO589832:RXP589837 SHK589832:SHL589837 SRG589832:SRH589837 TBC589832:TBD589837 TKY589832:TKZ589837 TUU589832:TUV589837 UEQ589832:UER589837 UOM589832:UON589837 UYI589832:UYJ589837 VIE589832:VIF589837 VSA589832:VSB589837 WBW589832:WBX589837 WLS589832:WLT589837 WVO589832:WVP589837 G655368:H655373 JC655368:JD655373 SY655368:SZ655373 ACU655368:ACV655373 AMQ655368:AMR655373 AWM655368:AWN655373 BGI655368:BGJ655373 BQE655368:BQF655373 CAA655368:CAB655373 CJW655368:CJX655373 CTS655368:CTT655373 DDO655368:DDP655373 DNK655368:DNL655373 DXG655368:DXH655373 EHC655368:EHD655373 EQY655368:EQZ655373 FAU655368:FAV655373 FKQ655368:FKR655373 FUM655368:FUN655373 GEI655368:GEJ655373 GOE655368:GOF655373 GYA655368:GYB655373 HHW655368:HHX655373 HRS655368:HRT655373 IBO655368:IBP655373 ILK655368:ILL655373 IVG655368:IVH655373 JFC655368:JFD655373 JOY655368:JOZ655373 JYU655368:JYV655373 KIQ655368:KIR655373 KSM655368:KSN655373 LCI655368:LCJ655373 LME655368:LMF655373 LWA655368:LWB655373 MFW655368:MFX655373 MPS655368:MPT655373 MZO655368:MZP655373 NJK655368:NJL655373 NTG655368:NTH655373 ODC655368:ODD655373 OMY655368:OMZ655373 OWU655368:OWV655373 PGQ655368:PGR655373 PQM655368:PQN655373 QAI655368:QAJ655373 QKE655368:QKF655373 QUA655368:QUB655373 RDW655368:RDX655373 RNS655368:RNT655373 RXO655368:RXP655373 SHK655368:SHL655373 SRG655368:SRH655373 TBC655368:TBD655373 TKY655368:TKZ655373 TUU655368:TUV655373 UEQ655368:UER655373 UOM655368:UON655373 UYI655368:UYJ655373 VIE655368:VIF655373 VSA655368:VSB655373 WBW655368:WBX655373 WLS655368:WLT655373 WVO655368:WVP655373 G720904:H720909 JC720904:JD720909 SY720904:SZ720909 ACU720904:ACV720909 AMQ720904:AMR720909 AWM720904:AWN720909 BGI720904:BGJ720909 BQE720904:BQF720909 CAA720904:CAB720909 CJW720904:CJX720909 CTS720904:CTT720909 DDO720904:DDP720909 DNK720904:DNL720909 DXG720904:DXH720909 EHC720904:EHD720909 EQY720904:EQZ720909 FAU720904:FAV720909 FKQ720904:FKR720909 FUM720904:FUN720909 GEI720904:GEJ720909 GOE720904:GOF720909 GYA720904:GYB720909 HHW720904:HHX720909 HRS720904:HRT720909 IBO720904:IBP720909 ILK720904:ILL720909 IVG720904:IVH720909 JFC720904:JFD720909 JOY720904:JOZ720909 JYU720904:JYV720909 KIQ720904:KIR720909 KSM720904:KSN720909 LCI720904:LCJ720909 LME720904:LMF720909 LWA720904:LWB720909 MFW720904:MFX720909 MPS720904:MPT720909 MZO720904:MZP720909 NJK720904:NJL720909 NTG720904:NTH720909 ODC720904:ODD720909 OMY720904:OMZ720909 OWU720904:OWV720909 PGQ720904:PGR720909 PQM720904:PQN720909 QAI720904:QAJ720909 QKE720904:QKF720909 QUA720904:QUB720909 RDW720904:RDX720909 RNS720904:RNT720909 RXO720904:RXP720909 SHK720904:SHL720909 SRG720904:SRH720909 TBC720904:TBD720909 TKY720904:TKZ720909 TUU720904:TUV720909 UEQ720904:UER720909 UOM720904:UON720909 UYI720904:UYJ720909 VIE720904:VIF720909 VSA720904:VSB720909 WBW720904:WBX720909 WLS720904:WLT720909 WVO720904:WVP720909 G786440:H786445 JC786440:JD786445 SY786440:SZ786445 ACU786440:ACV786445 AMQ786440:AMR786445 AWM786440:AWN786445 BGI786440:BGJ786445 BQE786440:BQF786445 CAA786440:CAB786445 CJW786440:CJX786445 CTS786440:CTT786445 DDO786440:DDP786445 DNK786440:DNL786445 DXG786440:DXH786445 EHC786440:EHD786445 EQY786440:EQZ786445 FAU786440:FAV786445 FKQ786440:FKR786445 FUM786440:FUN786445 GEI786440:GEJ786445 GOE786440:GOF786445 GYA786440:GYB786445 HHW786440:HHX786445 HRS786440:HRT786445 IBO786440:IBP786445 ILK786440:ILL786445 IVG786440:IVH786445 JFC786440:JFD786445 JOY786440:JOZ786445 JYU786440:JYV786445 KIQ786440:KIR786445 KSM786440:KSN786445 LCI786440:LCJ786445 LME786440:LMF786445 LWA786440:LWB786445 MFW786440:MFX786445 MPS786440:MPT786445 MZO786440:MZP786445 NJK786440:NJL786445 NTG786440:NTH786445 ODC786440:ODD786445 OMY786440:OMZ786445 OWU786440:OWV786445 PGQ786440:PGR786445 PQM786440:PQN786445 QAI786440:QAJ786445 QKE786440:QKF786445 QUA786440:QUB786445 RDW786440:RDX786445 RNS786440:RNT786445 RXO786440:RXP786445 SHK786440:SHL786445 SRG786440:SRH786445 TBC786440:TBD786445 TKY786440:TKZ786445 TUU786440:TUV786445 UEQ786440:UER786445 UOM786440:UON786445 UYI786440:UYJ786445 VIE786440:VIF786445 VSA786440:VSB786445 WBW786440:WBX786445 WLS786440:WLT786445 WVO786440:WVP786445 G851976:H851981 JC851976:JD851981 SY851976:SZ851981 ACU851976:ACV851981 AMQ851976:AMR851981 AWM851976:AWN851981 BGI851976:BGJ851981 BQE851976:BQF851981 CAA851976:CAB851981 CJW851976:CJX851981 CTS851976:CTT851981 DDO851976:DDP851981 DNK851976:DNL851981 DXG851976:DXH851981 EHC851976:EHD851981 EQY851976:EQZ851981 FAU851976:FAV851981 FKQ851976:FKR851981 FUM851976:FUN851981 GEI851976:GEJ851981 GOE851976:GOF851981 GYA851976:GYB851981 HHW851976:HHX851981 HRS851976:HRT851981 IBO851976:IBP851981 ILK851976:ILL851981 IVG851976:IVH851981 JFC851976:JFD851981 JOY851976:JOZ851981 JYU851976:JYV851981 KIQ851976:KIR851981 KSM851976:KSN851981 LCI851976:LCJ851981 LME851976:LMF851981 LWA851976:LWB851981 MFW851976:MFX851981 MPS851976:MPT851981 MZO851976:MZP851981 NJK851976:NJL851981 NTG851976:NTH851981 ODC851976:ODD851981 OMY851976:OMZ851981 OWU851976:OWV851981 PGQ851976:PGR851981 PQM851976:PQN851981 QAI851976:QAJ851981 QKE851976:QKF851981 QUA851976:QUB851981 RDW851976:RDX851981 RNS851976:RNT851981 RXO851976:RXP851981 SHK851976:SHL851981 SRG851976:SRH851981 TBC851976:TBD851981 TKY851976:TKZ851981 TUU851976:TUV851981 UEQ851976:UER851981 UOM851976:UON851981 UYI851976:UYJ851981 VIE851976:VIF851981 VSA851976:VSB851981 WBW851976:WBX851981 WLS851976:WLT851981 WVO851976:WVP851981 G917512:H917517 JC917512:JD917517 SY917512:SZ917517 ACU917512:ACV917517 AMQ917512:AMR917517 AWM917512:AWN917517 BGI917512:BGJ917517 BQE917512:BQF917517 CAA917512:CAB917517 CJW917512:CJX917517 CTS917512:CTT917517 DDO917512:DDP917517 DNK917512:DNL917517 DXG917512:DXH917517 EHC917512:EHD917517 EQY917512:EQZ917517 FAU917512:FAV917517 FKQ917512:FKR917517 FUM917512:FUN917517 GEI917512:GEJ917517 GOE917512:GOF917517 GYA917512:GYB917517 HHW917512:HHX917517 HRS917512:HRT917517 IBO917512:IBP917517 ILK917512:ILL917517 IVG917512:IVH917517 JFC917512:JFD917517 JOY917512:JOZ917517 JYU917512:JYV917517 KIQ917512:KIR917517 KSM917512:KSN917517 LCI917512:LCJ917517 LME917512:LMF917517 LWA917512:LWB917517 MFW917512:MFX917517 MPS917512:MPT917517 MZO917512:MZP917517 NJK917512:NJL917517 NTG917512:NTH917517 ODC917512:ODD917517 OMY917512:OMZ917517 OWU917512:OWV917517 PGQ917512:PGR917517 PQM917512:PQN917517 QAI917512:QAJ917517 QKE917512:QKF917517 QUA917512:QUB917517 RDW917512:RDX917517 RNS917512:RNT917517 RXO917512:RXP917517 SHK917512:SHL917517 SRG917512:SRH917517 TBC917512:TBD917517 TKY917512:TKZ917517 TUU917512:TUV917517 UEQ917512:UER917517 UOM917512:UON917517 UYI917512:UYJ917517 VIE917512:VIF917517 VSA917512:VSB917517 WBW917512:WBX917517 WLS917512:WLT917517 WVO917512:WVP917517 G983048:H983053 JC983048:JD983053 SY983048:SZ983053 ACU983048:ACV983053 AMQ983048:AMR983053 AWM983048:AWN983053 BGI983048:BGJ983053 BQE983048:BQF983053 CAA983048:CAB983053 CJW983048:CJX983053 CTS983048:CTT983053 DDO983048:DDP983053 DNK983048:DNL983053 DXG983048:DXH983053 EHC983048:EHD983053 EQY983048:EQZ983053 FAU983048:FAV983053 FKQ983048:FKR983053 FUM983048:FUN983053 GEI983048:GEJ983053 GOE983048:GOF983053 GYA983048:GYB983053 HHW983048:HHX983053 HRS983048:HRT983053 IBO983048:IBP983053 ILK983048:ILL983053 IVG983048:IVH983053 JFC983048:JFD983053 JOY983048:JOZ983053 JYU983048:JYV983053 KIQ983048:KIR983053 KSM983048:KSN983053 LCI983048:LCJ983053 LME983048:LMF983053 LWA983048:LWB983053 MFW983048:MFX983053 MPS983048:MPT983053 MZO983048:MZP983053 NJK983048:NJL983053 NTG983048:NTH983053 ODC983048:ODD983053 OMY983048:OMZ983053 OWU983048:OWV983053 PGQ983048:PGR983053 PQM983048:PQN983053 QAI983048:QAJ983053 QKE983048:QKF983053 QUA983048:QUB983053 RDW983048:RDX983053 RNS983048:RNT983053 RXO983048:RXP983053 SHK983048:SHL983053 SRG983048:SRH983053 TBC983048:TBD983053 TKY983048:TKZ983053 TUU983048:TUV983053 UEQ983048:UER983053 UOM983048:UON983053 UYI983048:UYJ983053 VIE983048:VIF983053 VSA983048:VSB983053 WBW983048:WBX983053 WLS983048:WLT983053 WVO983048:WVP983053 G16:H21 JC16:JD21 SY16:SZ21 ACU16:ACV21 AMQ16:AMR21 AWM16:AWN21 BGI16:BGJ21 BQE16:BQF21 CAA16:CAB21 CJW16:CJX21 CTS16:CTT21 DDO16:DDP21 DNK16:DNL21 DXG16:DXH21 EHC16:EHD21 EQY16:EQZ21 FAU16:FAV21 FKQ16:FKR21 FUM16:FUN21 GEI16:GEJ21 GOE16:GOF21 GYA16:GYB21 HHW16:HHX21 HRS16:HRT21 IBO16:IBP21 ILK16:ILL21 IVG16:IVH21 JFC16:JFD21 JOY16:JOZ21 JYU16:JYV21 KIQ16:KIR21 KSM16:KSN21 LCI16:LCJ21 LME16:LMF21 LWA16:LWB21 MFW16:MFX21 MPS16:MPT21 MZO16:MZP21 NJK16:NJL21 NTG16:NTH21 ODC16:ODD21 OMY16:OMZ21 OWU16:OWV21 PGQ16:PGR21 PQM16:PQN21 QAI16:QAJ21 QKE16:QKF21 QUA16:QUB21 RDW16:RDX21 RNS16:RNT21 RXO16:RXP21 SHK16:SHL21 SRG16:SRH21 TBC16:TBD21 TKY16:TKZ21 TUU16:TUV21 UEQ16:UER21 UOM16:UON21 UYI16:UYJ21 VIE16:VIF21 VSA16:VSB21 WBW16:WBX21 WLS16:WLT21 WVO16:WVP21 G65552:H65557 JC65552:JD65557 SY65552:SZ65557 ACU65552:ACV65557 AMQ65552:AMR65557 AWM65552:AWN65557 BGI65552:BGJ65557 BQE65552:BQF65557 CAA65552:CAB65557 CJW65552:CJX65557 CTS65552:CTT65557 DDO65552:DDP65557 DNK65552:DNL65557 DXG65552:DXH65557 EHC65552:EHD65557 EQY65552:EQZ65557 FAU65552:FAV65557 FKQ65552:FKR65557 FUM65552:FUN65557 GEI65552:GEJ65557 GOE65552:GOF65557 GYA65552:GYB65557 HHW65552:HHX65557 HRS65552:HRT65557 IBO65552:IBP65557 ILK65552:ILL65557 IVG65552:IVH65557 JFC65552:JFD65557 JOY65552:JOZ65557 JYU65552:JYV65557 KIQ65552:KIR65557 KSM65552:KSN65557 LCI65552:LCJ65557 LME65552:LMF65557 LWA65552:LWB65557 MFW65552:MFX65557 MPS65552:MPT65557 MZO65552:MZP65557 NJK65552:NJL65557 NTG65552:NTH65557 ODC65552:ODD65557 OMY65552:OMZ65557 OWU65552:OWV65557 PGQ65552:PGR65557 PQM65552:PQN65557 QAI65552:QAJ65557 QKE65552:QKF65557 QUA65552:QUB65557 RDW65552:RDX65557 RNS65552:RNT65557 RXO65552:RXP65557 SHK65552:SHL65557 SRG65552:SRH65557 TBC65552:TBD65557 TKY65552:TKZ65557 TUU65552:TUV65557 UEQ65552:UER65557 UOM65552:UON65557 UYI65552:UYJ65557 VIE65552:VIF65557 VSA65552:VSB65557 WBW65552:WBX65557 WLS65552:WLT65557 WVO65552:WVP65557 G131088:H131093 JC131088:JD131093 SY131088:SZ131093 ACU131088:ACV131093 AMQ131088:AMR131093 AWM131088:AWN131093 BGI131088:BGJ131093 BQE131088:BQF131093 CAA131088:CAB131093 CJW131088:CJX131093 CTS131088:CTT131093 DDO131088:DDP131093 DNK131088:DNL131093 DXG131088:DXH131093 EHC131088:EHD131093 EQY131088:EQZ131093 FAU131088:FAV131093 FKQ131088:FKR131093 FUM131088:FUN131093 GEI131088:GEJ131093 GOE131088:GOF131093 GYA131088:GYB131093 HHW131088:HHX131093 HRS131088:HRT131093 IBO131088:IBP131093 ILK131088:ILL131093 IVG131088:IVH131093 JFC131088:JFD131093 JOY131088:JOZ131093 JYU131088:JYV131093 KIQ131088:KIR131093 KSM131088:KSN131093 LCI131088:LCJ131093 LME131088:LMF131093 LWA131088:LWB131093 MFW131088:MFX131093 MPS131088:MPT131093 MZO131088:MZP131093 NJK131088:NJL131093 NTG131088:NTH131093 ODC131088:ODD131093 OMY131088:OMZ131093 OWU131088:OWV131093 PGQ131088:PGR131093 PQM131088:PQN131093 QAI131088:QAJ131093 QKE131088:QKF131093 QUA131088:QUB131093 RDW131088:RDX131093 RNS131088:RNT131093 RXO131088:RXP131093 SHK131088:SHL131093 SRG131088:SRH131093 TBC131088:TBD131093 TKY131088:TKZ131093 TUU131088:TUV131093 UEQ131088:UER131093 UOM131088:UON131093 UYI131088:UYJ131093 VIE131088:VIF131093 VSA131088:VSB131093 WBW131088:WBX131093 WLS131088:WLT131093 WVO131088:WVP131093 G196624:H196629 JC196624:JD196629 SY196624:SZ196629 ACU196624:ACV196629 AMQ196624:AMR196629 AWM196624:AWN196629 BGI196624:BGJ196629 BQE196624:BQF196629 CAA196624:CAB196629 CJW196624:CJX196629 CTS196624:CTT196629 DDO196624:DDP196629 DNK196624:DNL196629 DXG196624:DXH196629 EHC196624:EHD196629 EQY196624:EQZ196629 FAU196624:FAV196629 FKQ196624:FKR196629 FUM196624:FUN196629 GEI196624:GEJ196629 GOE196624:GOF196629 GYA196624:GYB196629 HHW196624:HHX196629 HRS196624:HRT196629 IBO196624:IBP196629 ILK196624:ILL196629 IVG196624:IVH196629 JFC196624:JFD196629 JOY196624:JOZ196629 JYU196624:JYV196629 KIQ196624:KIR196629 KSM196624:KSN196629 LCI196624:LCJ196629 LME196624:LMF196629 LWA196624:LWB196629 MFW196624:MFX196629 MPS196624:MPT196629 MZO196624:MZP196629 NJK196624:NJL196629 NTG196624:NTH196629 ODC196624:ODD196629 OMY196624:OMZ196629 OWU196624:OWV196629 PGQ196624:PGR196629 PQM196624:PQN196629 QAI196624:QAJ196629 QKE196624:QKF196629 QUA196624:QUB196629 RDW196624:RDX196629 RNS196624:RNT196629 RXO196624:RXP196629 SHK196624:SHL196629 SRG196624:SRH196629 TBC196624:TBD196629 TKY196624:TKZ196629 TUU196624:TUV196629 UEQ196624:UER196629 UOM196624:UON196629 UYI196624:UYJ196629 VIE196624:VIF196629 VSA196624:VSB196629 WBW196624:WBX196629 WLS196624:WLT196629 WVO196624:WVP196629 G262160:H262165 JC262160:JD262165 SY262160:SZ262165 ACU262160:ACV262165 AMQ262160:AMR262165 AWM262160:AWN262165 BGI262160:BGJ262165 BQE262160:BQF262165 CAA262160:CAB262165 CJW262160:CJX262165 CTS262160:CTT262165 DDO262160:DDP262165 DNK262160:DNL262165 DXG262160:DXH262165 EHC262160:EHD262165 EQY262160:EQZ262165 FAU262160:FAV262165 FKQ262160:FKR262165 FUM262160:FUN262165 GEI262160:GEJ262165 GOE262160:GOF262165 GYA262160:GYB262165 HHW262160:HHX262165 HRS262160:HRT262165 IBO262160:IBP262165 ILK262160:ILL262165 IVG262160:IVH262165 JFC262160:JFD262165 JOY262160:JOZ262165 JYU262160:JYV262165 KIQ262160:KIR262165 KSM262160:KSN262165 LCI262160:LCJ262165 LME262160:LMF262165 LWA262160:LWB262165 MFW262160:MFX262165 MPS262160:MPT262165 MZO262160:MZP262165 NJK262160:NJL262165 NTG262160:NTH262165 ODC262160:ODD262165 OMY262160:OMZ262165 OWU262160:OWV262165 PGQ262160:PGR262165 PQM262160:PQN262165 QAI262160:QAJ262165 QKE262160:QKF262165 QUA262160:QUB262165 RDW262160:RDX262165 RNS262160:RNT262165 RXO262160:RXP262165 SHK262160:SHL262165 SRG262160:SRH262165 TBC262160:TBD262165 TKY262160:TKZ262165 TUU262160:TUV262165 UEQ262160:UER262165 UOM262160:UON262165 UYI262160:UYJ262165 VIE262160:VIF262165 VSA262160:VSB262165 WBW262160:WBX262165 WLS262160:WLT262165 WVO262160:WVP262165 G327696:H327701 JC327696:JD327701 SY327696:SZ327701 ACU327696:ACV327701 AMQ327696:AMR327701 AWM327696:AWN327701 BGI327696:BGJ327701 BQE327696:BQF327701 CAA327696:CAB327701 CJW327696:CJX327701 CTS327696:CTT327701 DDO327696:DDP327701 DNK327696:DNL327701 DXG327696:DXH327701 EHC327696:EHD327701 EQY327696:EQZ327701 FAU327696:FAV327701 FKQ327696:FKR327701 FUM327696:FUN327701 GEI327696:GEJ327701 GOE327696:GOF327701 GYA327696:GYB327701 HHW327696:HHX327701 HRS327696:HRT327701 IBO327696:IBP327701 ILK327696:ILL327701 IVG327696:IVH327701 JFC327696:JFD327701 JOY327696:JOZ327701 JYU327696:JYV327701 KIQ327696:KIR327701 KSM327696:KSN327701 LCI327696:LCJ327701 LME327696:LMF327701 LWA327696:LWB327701 MFW327696:MFX327701 MPS327696:MPT327701 MZO327696:MZP327701 NJK327696:NJL327701 NTG327696:NTH327701 ODC327696:ODD327701 OMY327696:OMZ327701 OWU327696:OWV327701 PGQ327696:PGR327701 PQM327696:PQN327701 QAI327696:QAJ327701 QKE327696:QKF327701 QUA327696:QUB327701 RDW327696:RDX327701 RNS327696:RNT327701 RXO327696:RXP327701 SHK327696:SHL327701 SRG327696:SRH327701 TBC327696:TBD327701 TKY327696:TKZ327701 TUU327696:TUV327701 UEQ327696:UER327701 UOM327696:UON327701 UYI327696:UYJ327701 VIE327696:VIF327701 VSA327696:VSB327701 WBW327696:WBX327701 WLS327696:WLT327701 WVO327696:WVP327701 G393232:H393237 JC393232:JD393237 SY393232:SZ393237 ACU393232:ACV393237 AMQ393232:AMR393237 AWM393232:AWN393237 BGI393232:BGJ393237 BQE393232:BQF393237 CAA393232:CAB393237 CJW393232:CJX393237 CTS393232:CTT393237 DDO393232:DDP393237 DNK393232:DNL393237 DXG393232:DXH393237 EHC393232:EHD393237 EQY393232:EQZ393237 FAU393232:FAV393237 FKQ393232:FKR393237 FUM393232:FUN393237 GEI393232:GEJ393237 GOE393232:GOF393237 GYA393232:GYB393237 HHW393232:HHX393237 HRS393232:HRT393237 IBO393232:IBP393237 ILK393232:ILL393237 IVG393232:IVH393237 JFC393232:JFD393237 JOY393232:JOZ393237 JYU393232:JYV393237 KIQ393232:KIR393237 KSM393232:KSN393237 LCI393232:LCJ393237 LME393232:LMF393237 LWA393232:LWB393237 MFW393232:MFX393237 MPS393232:MPT393237 MZO393232:MZP393237 NJK393232:NJL393237 NTG393232:NTH393237 ODC393232:ODD393237 OMY393232:OMZ393237 OWU393232:OWV393237 PGQ393232:PGR393237 PQM393232:PQN393237 QAI393232:QAJ393237 QKE393232:QKF393237 QUA393232:QUB393237 RDW393232:RDX393237 RNS393232:RNT393237 RXO393232:RXP393237 SHK393232:SHL393237 SRG393232:SRH393237 TBC393232:TBD393237 TKY393232:TKZ393237 TUU393232:TUV393237 UEQ393232:UER393237 UOM393232:UON393237 UYI393232:UYJ393237 VIE393232:VIF393237 VSA393232:VSB393237 WBW393232:WBX393237 WLS393232:WLT393237 WVO393232:WVP393237 G458768:H458773 JC458768:JD458773 SY458768:SZ458773 ACU458768:ACV458773 AMQ458768:AMR458773 AWM458768:AWN458773 BGI458768:BGJ458773 BQE458768:BQF458773 CAA458768:CAB458773 CJW458768:CJX458773 CTS458768:CTT458773 DDO458768:DDP458773 DNK458768:DNL458773 DXG458768:DXH458773 EHC458768:EHD458773 EQY458768:EQZ458773 FAU458768:FAV458773 FKQ458768:FKR458773 FUM458768:FUN458773 GEI458768:GEJ458773 GOE458768:GOF458773 GYA458768:GYB458773 HHW458768:HHX458773 HRS458768:HRT458773 IBO458768:IBP458773 ILK458768:ILL458773 IVG458768:IVH458773 JFC458768:JFD458773 JOY458768:JOZ458773 JYU458768:JYV458773 KIQ458768:KIR458773 KSM458768:KSN458773 LCI458768:LCJ458773 LME458768:LMF458773 LWA458768:LWB458773 MFW458768:MFX458773 MPS458768:MPT458773 MZO458768:MZP458773 NJK458768:NJL458773 NTG458768:NTH458773 ODC458768:ODD458773 OMY458768:OMZ458773 OWU458768:OWV458773 PGQ458768:PGR458773 PQM458768:PQN458773 QAI458768:QAJ458773 QKE458768:QKF458773 QUA458768:QUB458773 RDW458768:RDX458773 RNS458768:RNT458773 RXO458768:RXP458773 SHK458768:SHL458773 SRG458768:SRH458773 TBC458768:TBD458773 TKY458768:TKZ458773 TUU458768:TUV458773 UEQ458768:UER458773 UOM458768:UON458773 UYI458768:UYJ458773 VIE458768:VIF458773 VSA458768:VSB458773 WBW458768:WBX458773 WLS458768:WLT458773 WVO458768:WVP458773 G524304:H524309 JC524304:JD524309 SY524304:SZ524309 ACU524304:ACV524309 AMQ524304:AMR524309 AWM524304:AWN524309 BGI524304:BGJ524309 BQE524304:BQF524309 CAA524304:CAB524309 CJW524304:CJX524309 CTS524304:CTT524309 DDO524304:DDP524309 DNK524304:DNL524309 DXG524304:DXH524309 EHC524304:EHD524309 EQY524304:EQZ524309 FAU524304:FAV524309 FKQ524304:FKR524309 FUM524304:FUN524309 GEI524304:GEJ524309 GOE524304:GOF524309 GYA524304:GYB524309 HHW524304:HHX524309 HRS524304:HRT524309 IBO524304:IBP524309 ILK524304:ILL524309 IVG524304:IVH524309 JFC524304:JFD524309 JOY524304:JOZ524309 JYU524304:JYV524309 KIQ524304:KIR524309 KSM524304:KSN524309 LCI524304:LCJ524309 LME524304:LMF524309 LWA524304:LWB524309 MFW524304:MFX524309 MPS524304:MPT524309 MZO524304:MZP524309 NJK524304:NJL524309 NTG524304:NTH524309 ODC524304:ODD524309 OMY524304:OMZ524309 OWU524304:OWV524309 PGQ524304:PGR524309 PQM524304:PQN524309 QAI524304:QAJ524309 QKE524304:QKF524309 QUA524304:QUB524309 RDW524304:RDX524309 RNS524304:RNT524309 RXO524304:RXP524309 SHK524304:SHL524309 SRG524304:SRH524309 TBC524304:TBD524309 TKY524304:TKZ524309 TUU524304:TUV524309 UEQ524304:UER524309 UOM524304:UON524309 UYI524304:UYJ524309 VIE524304:VIF524309 VSA524304:VSB524309 WBW524304:WBX524309 WLS524304:WLT524309 WVO524304:WVP524309 G589840:H589845 JC589840:JD589845 SY589840:SZ589845 ACU589840:ACV589845 AMQ589840:AMR589845 AWM589840:AWN589845 BGI589840:BGJ589845 BQE589840:BQF589845 CAA589840:CAB589845 CJW589840:CJX589845 CTS589840:CTT589845 DDO589840:DDP589845 DNK589840:DNL589845 DXG589840:DXH589845 EHC589840:EHD589845 EQY589840:EQZ589845 FAU589840:FAV589845 FKQ589840:FKR589845 FUM589840:FUN589845 GEI589840:GEJ589845 GOE589840:GOF589845 GYA589840:GYB589845 HHW589840:HHX589845 HRS589840:HRT589845 IBO589840:IBP589845 ILK589840:ILL589845 IVG589840:IVH589845 JFC589840:JFD589845 JOY589840:JOZ589845 JYU589840:JYV589845 KIQ589840:KIR589845 KSM589840:KSN589845 LCI589840:LCJ589845 LME589840:LMF589845 LWA589840:LWB589845 MFW589840:MFX589845 MPS589840:MPT589845 MZO589840:MZP589845 NJK589840:NJL589845 NTG589840:NTH589845 ODC589840:ODD589845 OMY589840:OMZ589845 OWU589840:OWV589845 PGQ589840:PGR589845 PQM589840:PQN589845 QAI589840:QAJ589845 QKE589840:QKF589845 QUA589840:QUB589845 RDW589840:RDX589845 RNS589840:RNT589845 RXO589840:RXP589845 SHK589840:SHL589845 SRG589840:SRH589845 TBC589840:TBD589845 TKY589840:TKZ589845 TUU589840:TUV589845 UEQ589840:UER589845 UOM589840:UON589845 UYI589840:UYJ589845 VIE589840:VIF589845 VSA589840:VSB589845 WBW589840:WBX589845 WLS589840:WLT589845 WVO589840:WVP589845 G655376:H655381 JC655376:JD655381 SY655376:SZ655381 ACU655376:ACV655381 AMQ655376:AMR655381 AWM655376:AWN655381 BGI655376:BGJ655381 BQE655376:BQF655381 CAA655376:CAB655381 CJW655376:CJX655381 CTS655376:CTT655381 DDO655376:DDP655381 DNK655376:DNL655381 DXG655376:DXH655381 EHC655376:EHD655381 EQY655376:EQZ655381 FAU655376:FAV655381 FKQ655376:FKR655381 FUM655376:FUN655381 GEI655376:GEJ655381 GOE655376:GOF655381 GYA655376:GYB655381 HHW655376:HHX655381 HRS655376:HRT655381 IBO655376:IBP655381 ILK655376:ILL655381 IVG655376:IVH655381 JFC655376:JFD655381 JOY655376:JOZ655381 JYU655376:JYV655381 KIQ655376:KIR655381 KSM655376:KSN655381 LCI655376:LCJ655381 LME655376:LMF655381 LWA655376:LWB655381 MFW655376:MFX655381 MPS655376:MPT655381 MZO655376:MZP655381 NJK655376:NJL655381 NTG655376:NTH655381 ODC655376:ODD655381 OMY655376:OMZ655381 OWU655376:OWV655381 PGQ655376:PGR655381 PQM655376:PQN655381 QAI655376:QAJ655381 QKE655376:QKF655381 QUA655376:QUB655381 RDW655376:RDX655381 RNS655376:RNT655381 RXO655376:RXP655381 SHK655376:SHL655381 SRG655376:SRH655381 TBC655376:TBD655381 TKY655376:TKZ655381 TUU655376:TUV655381 UEQ655376:UER655381 UOM655376:UON655381 UYI655376:UYJ655381 VIE655376:VIF655381 VSA655376:VSB655381 WBW655376:WBX655381 WLS655376:WLT655381 WVO655376:WVP655381 G720912:H720917 JC720912:JD720917 SY720912:SZ720917 ACU720912:ACV720917 AMQ720912:AMR720917 AWM720912:AWN720917 BGI720912:BGJ720917 BQE720912:BQF720917 CAA720912:CAB720917 CJW720912:CJX720917 CTS720912:CTT720917 DDO720912:DDP720917 DNK720912:DNL720917 DXG720912:DXH720917 EHC720912:EHD720917 EQY720912:EQZ720917 FAU720912:FAV720917 FKQ720912:FKR720917 FUM720912:FUN720917 GEI720912:GEJ720917 GOE720912:GOF720917 GYA720912:GYB720917 HHW720912:HHX720917 HRS720912:HRT720917 IBO720912:IBP720917 ILK720912:ILL720917 IVG720912:IVH720917 JFC720912:JFD720917 JOY720912:JOZ720917 JYU720912:JYV720917 KIQ720912:KIR720917 KSM720912:KSN720917 LCI720912:LCJ720917 LME720912:LMF720917 LWA720912:LWB720917 MFW720912:MFX720917 MPS720912:MPT720917 MZO720912:MZP720917 NJK720912:NJL720917 NTG720912:NTH720917 ODC720912:ODD720917 OMY720912:OMZ720917 OWU720912:OWV720917 PGQ720912:PGR720917 PQM720912:PQN720917 QAI720912:QAJ720917 QKE720912:QKF720917 QUA720912:QUB720917 RDW720912:RDX720917 RNS720912:RNT720917 RXO720912:RXP720917 SHK720912:SHL720917 SRG720912:SRH720917 TBC720912:TBD720917 TKY720912:TKZ720917 TUU720912:TUV720917 UEQ720912:UER720917 UOM720912:UON720917 UYI720912:UYJ720917 VIE720912:VIF720917 VSA720912:VSB720917 WBW720912:WBX720917 WLS720912:WLT720917 WVO720912:WVP720917 G786448:H786453 JC786448:JD786453 SY786448:SZ786453 ACU786448:ACV786453 AMQ786448:AMR786453 AWM786448:AWN786453 BGI786448:BGJ786453 BQE786448:BQF786453 CAA786448:CAB786453 CJW786448:CJX786453 CTS786448:CTT786453 DDO786448:DDP786453 DNK786448:DNL786453 DXG786448:DXH786453 EHC786448:EHD786453 EQY786448:EQZ786453 FAU786448:FAV786453 FKQ786448:FKR786453 FUM786448:FUN786453 GEI786448:GEJ786453 GOE786448:GOF786453 GYA786448:GYB786453 HHW786448:HHX786453 HRS786448:HRT786453 IBO786448:IBP786453 ILK786448:ILL786453 IVG786448:IVH786453 JFC786448:JFD786453 JOY786448:JOZ786453 JYU786448:JYV786453 KIQ786448:KIR786453 KSM786448:KSN786453 LCI786448:LCJ786453 LME786448:LMF786453 LWA786448:LWB786453 MFW786448:MFX786453 MPS786448:MPT786453 MZO786448:MZP786453 NJK786448:NJL786453 NTG786448:NTH786453 ODC786448:ODD786453 OMY786448:OMZ786453 OWU786448:OWV786453 PGQ786448:PGR786453 PQM786448:PQN786453 QAI786448:QAJ786453 QKE786448:QKF786453 QUA786448:QUB786453 RDW786448:RDX786453 RNS786448:RNT786453 RXO786448:RXP786453 SHK786448:SHL786453 SRG786448:SRH786453 TBC786448:TBD786453 TKY786448:TKZ786453 TUU786448:TUV786453 UEQ786448:UER786453 UOM786448:UON786453 UYI786448:UYJ786453 VIE786448:VIF786453 VSA786448:VSB786453 WBW786448:WBX786453 WLS786448:WLT786453 WVO786448:WVP786453 G851984:H851989 JC851984:JD851989 SY851984:SZ851989 ACU851984:ACV851989 AMQ851984:AMR851989 AWM851984:AWN851989 BGI851984:BGJ851989 BQE851984:BQF851989 CAA851984:CAB851989 CJW851984:CJX851989 CTS851984:CTT851989 DDO851984:DDP851989 DNK851984:DNL851989 DXG851984:DXH851989 EHC851984:EHD851989 EQY851984:EQZ851989 FAU851984:FAV851989 FKQ851984:FKR851989 FUM851984:FUN851989 GEI851984:GEJ851989 GOE851984:GOF851989 GYA851984:GYB851989 HHW851984:HHX851989 HRS851984:HRT851989 IBO851984:IBP851989 ILK851984:ILL851989 IVG851984:IVH851989 JFC851984:JFD851989 JOY851984:JOZ851989 JYU851984:JYV851989 KIQ851984:KIR851989 KSM851984:KSN851989 LCI851984:LCJ851989 LME851984:LMF851989 LWA851984:LWB851989 MFW851984:MFX851989 MPS851984:MPT851989 MZO851984:MZP851989 NJK851984:NJL851989 NTG851984:NTH851989 ODC851984:ODD851989 OMY851984:OMZ851989 OWU851984:OWV851989 PGQ851984:PGR851989 PQM851984:PQN851989 QAI851984:QAJ851989 QKE851984:QKF851989 QUA851984:QUB851989 RDW851984:RDX851989 RNS851984:RNT851989 RXO851984:RXP851989 SHK851984:SHL851989 SRG851984:SRH851989 TBC851984:TBD851989 TKY851984:TKZ851989 TUU851984:TUV851989 UEQ851984:UER851989 UOM851984:UON851989 UYI851984:UYJ851989 VIE851984:VIF851989 VSA851984:VSB851989 WBW851984:WBX851989 WLS851984:WLT851989 WVO851984:WVP851989 G917520:H917525 JC917520:JD917525 SY917520:SZ917525 ACU917520:ACV917525 AMQ917520:AMR917525 AWM917520:AWN917525 BGI917520:BGJ917525 BQE917520:BQF917525 CAA917520:CAB917525 CJW917520:CJX917525 CTS917520:CTT917525 DDO917520:DDP917525 DNK917520:DNL917525 DXG917520:DXH917525 EHC917520:EHD917525 EQY917520:EQZ917525 FAU917520:FAV917525 FKQ917520:FKR917525 FUM917520:FUN917525 GEI917520:GEJ917525 GOE917520:GOF917525 GYA917520:GYB917525 HHW917520:HHX917525 HRS917520:HRT917525 IBO917520:IBP917525 ILK917520:ILL917525 IVG917520:IVH917525 JFC917520:JFD917525 JOY917520:JOZ917525 JYU917520:JYV917525 KIQ917520:KIR917525 KSM917520:KSN917525 LCI917520:LCJ917525 LME917520:LMF917525 LWA917520:LWB917525 MFW917520:MFX917525 MPS917520:MPT917525 MZO917520:MZP917525 NJK917520:NJL917525 NTG917520:NTH917525 ODC917520:ODD917525 OMY917520:OMZ917525 OWU917520:OWV917525 PGQ917520:PGR917525 PQM917520:PQN917525 QAI917520:QAJ917525 QKE917520:QKF917525 QUA917520:QUB917525 RDW917520:RDX917525 RNS917520:RNT917525 RXO917520:RXP917525 SHK917520:SHL917525 SRG917520:SRH917525 TBC917520:TBD917525 TKY917520:TKZ917525 TUU917520:TUV917525 UEQ917520:UER917525 UOM917520:UON917525 UYI917520:UYJ917525 VIE917520:VIF917525 VSA917520:VSB917525 WBW917520:WBX917525 WLS917520:WLT917525 WVO917520:WVP917525 G983056:H983061 JC983056:JD983061 SY983056:SZ983061 ACU983056:ACV983061 AMQ983056:AMR983061 AWM983056:AWN983061 BGI983056:BGJ983061 BQE983056:BQF983061 CAA983056:CAB983061 CJW983056:CJX983061 CTS983056:CTT983061 DDO983056:DDP983061 DNK983056:DNL983061 DXG983056:DXH983061 EHC983056:EHD983061 EQY983056:EQZ983061 FAU983056:FAV983061 FKQ983056:FKR983061 FUM983056:FUN983061 GEI983056:GEJ983061 GOE983056:GOF983061 GYA983056:GYB983061 HHW983056:HHX983061 HRS983056:HRT983061 IBO983056:IBP983061 ILK983056:ILL983061 IVG983056:IVH983061 JFC983056:JFD983061 JOY983056:JOZ983061 JYU983056:JYV983061 KIQ983056:KIR983061 KSM983056:KSN983061 LCI983056:LCJ983061 LME983056:LMF983061 LWA983056:LWB983061 MFW983056:MFX983061 MPS983056:MPT983061 MZO983056:MZP983061 NJK983056:NJL983061 NTG983056:NTH983061 ODC983056:ODD983061 OMY983056:OMZ983061 OWU983056:OWV983061 PGQ983056:PGR983061 PQM983056:PQN983061 QAI983056:QAJ983061 QKE983056:QKF983061 QUA983056:QUB983061 RDW983056:RDX983061 RNS983056:RNT983061 RXO983056:RXP983061 SHK983056:SHL983061 SRG983056:SRH983061 TBC983056:TBD983061 TKY983056:TKZ983061 TUU983056:TUV983061 UEQ983056:UER983061 UOM983056:UON983061 UYI983056:UYJ983061 VIE983056:VIF983061 VSA983056:VSB983061 WBW983056:WBX983061 WLS983056:WLT983061 WVO983056:WVP983061 G24:H29 JC24:JD29 SY24:SZ29 ACU24:ACV29 AMQ24:AMR29 AWM24:AWN29 BGI24:BGJ29 BQE24:BQF29 CAA24:CAB29 CJW24:CJX29 CTS24:CTT29 DDO24:DDP29 DNK24:DNL29 DXG24:DXH29 EHC24:EHD29 EQY24:EQZ29 FAU24:FAV29 FKQ24:FKR29 FUM24:FUN29 GEI24:GEJ29 GOE24:GOF29 GYA24:GYB29 HHW24:HHX29 HRS24:HRT29 IBO24:IBP29 ILK24:ILL29 IVG24:IVH29 JFC24:JFD29 JOY24:JOZ29 JYU24:JYV29 KIQ24:KIR29 KSM24:KSN29 LCI24:LCJ29 LME24:LMF29 LWA24:LWB29 MFW24:MFX29 MPS24:MPT29 MZO24:MZP29 NJK24:NJL29 NTG24:NTH29 ODC24:ODD29 OMY24:OMZ29 OWU24:OWV29 PGQ24:PGR29 PQM24:PQN29 QAI24:QAJ29 QKE24:QKF29 QUA24:QUB29 RDW24:RDX29 RNS24:RNT29 RXO24:RXP29 SHK24:SHL29 SRG24:SRH29 TBC24:TBD29 TKY24:TKZ29 TUU24:TUV29 UEQ24:UER29 UOM24:UON29 UYI24:UYJ29 VIE24:VIF29 VSA24:VSB29 WBW24:WBX29 WLS24:WLT29 WVO24:WVP29 G65560:H65565 JC65560:JD65565 SY65560:SZ65565 ACU65560:ACV65565 AMQ65560:AMR65565 AWM65560:AWN65565 BGI65560:BGJ65565 BQE65560:BQF65565 CAA65560:CAB65565 CJW65560:CJX65565 CTS65560:CTT65565 DDO65560:DDP65565 DNK65560:DNL65565 DXG65560:DXH65565 EHC65560:EHD65565 EQY65560:EQZ65565 FAU65560:FAV65565 FKQ65560:FKR65565 FUM65560:FUN65565 GEI65560:GEJ65565 GOE65560:GOF65565 GYA65560:GYB65565 HHW65560:HHX65565 HRS65560:HRT65565 IBO65560:IBP65565 ILK65560:ILL65565 IVG65560:IVH65565 JFC65560:JFD65565 JOY65560:JOZ65565 JYU65560:JYV65565 KIQ65560:KIR65565 KSM65560:KSN65565 LCI65560:LCJ65565 LME65560:LMF65565 LWA65560:LWB65565 MFW65560:MFX65565 MPS65560:MPT65565 MZO65560:MZP65565 NJK65560:NJL65565 NTG65560:NTH65565 ODC65560:ODD65565 OMY65560:OMZ65565 OWU65560:OWV65565 PGQ65560:PGR65565 PQM65560:PQN65565 QAI65560:QAJ65565 QKE65560:QKF65565 QUA65560:QUB65565 RDW65560:RDX65565 RNS65560:RNT65565 RXO65560:RXP65565 SHK65560:SHL65565 SRG65560:SRH65565 TBC65560:TBD65565 TKY65560:TKZ65565 TUU65560:TUV65565 UEQ65560:UER65565 UOM65560:UON65565 UYI65560:UYJ65565 VIE65560:VIF65565 VSA65560:VSB65565 WBW65560:WBX65565 WLS65560:WLT65565 WVO65560:WVP65565 G131096:H131101 JC131096:JD131101 SY131096:SZ131101 ACU131096:ACV131101 AMQ131096:AMR131101 AWM131096:AWN131101 BGI131096:BGJ131101 BQE131096:BQF131101 CAA131096:CAB131101 CJW131096:CJX131101 CTS131096:CTT131101 DDO131096:DDP131101 DNK131096:DNL131101 DXG131096:DXH131101 EHC131096:EHD131101 EQY131096:EQZ131101 FAU131096:FAV131101 FKQ131096:FKR131101 FUM131096:FUN131101 GEI131096:GEJ131101 GOE131096:GOF131101 GYA131096:GYB131101 HHW131096:HHX131101 HRS131096:HRT131101 IBO131096:IBP131101 ILK131096:ILL131101 IVG131096:IVH131101 JFC131096:JFD131101 JOY131096:JOZ131101 JYU131096:JYV131101 KIQ131096:KIR131101 KSM131096:KSN131101 LCI131096:LCJ131101 LME131096:LMF131101 LWA131096:LWB131101 MFW131096:MFX131101 MPS131096:MPT131101 MZO131096:MZP131101 NJK131096:NJL131101 NTG131096:NTH131101 ODC131096:ODD131101 OMY131096:OMZ131101 OWU131096:OWV131101 PGQ131096:PGR131101 PQM131096:PQN131101 QAI131096:QAJ131101 QKE131096:QKF131101 QUA131096:QUB131101 RDW131096:RDX131101 RNS131096:RNT131101 RXO131096:RXP131101 SHK131096:SHL131101 SRG131096:SRH131101 TBC131096:TBD131101 TKY131096:TKZ131101 TUU131096:TUV131101 UEQ131096:UER131101 UOM131096:UON131101 UYI131096:UYJ131101 VIE131096:VIF131101 VSA131096:VSB131101 WBW131096:WBX131101 WLS131096:WLT131101 WVO131096:WVP131101 G196632:H196637 JC196632:JD196637 SY196632:SZ196637 ACU196632:ACV196637 AMQ196632:AMR196637 AWM196632:AWN196637 BGI196632:BGJ196637 BQE196632:BQF196637 CAA196632:CAB196637 CJW196632:CJX196637 CTS196632:CTT196637 DDO196632:DDP196637 DNK196632:DNL196637 DXG196632:DXH196637 EHC196632:EHD196637 EQY196632:EQZ196637 FAU196632:FAV196637 FKQ196632:FKR196637 FUM196632:FUN196637 GEI196632:GEJ196637 GOE196632:GOF196637 GYA196632:GYB196637 HHW196632:HHX196637 HRS196632:HRT196637 IBO196632:IBP196637 ILK196632:ILL196637 IVG196632:IVH196637 JFC196632:JFD196637 JOY196632:JOZ196637 JYU196632:JYV196637 KIQ196632:KIR196637 KSM196632:KSN196637 LCI196632:LCJ196637 LME196632:LMF196637 LWA196632:LWB196637 MFW196632:MFX196637 MPS196632:MPT196637 MZO196632:MZP196637 NJK196632:NJL196637 NTG196632:NTH196637 ODC196632:ODD196637 OMY196632:OMZ196637 OWU196632:OWV196637 PGQ196632:PGR196637 PQM196632:PQN196637 QAI196632:QAJ196637 QKE196632:QKF196637 QUA196632:QUB196637 RDW196632:RDX196637 RNS196632:RNT196637 RXO196632:RXP196637 SHK196632:SHL196637 SRG196632:SRH196637 TBC196632:TBD196637 TKY196632:TKZ196637 TUU196632:TUV196637 UEQ196632:UER196637 UOM196632:UON196637 UYI196632:UYJ196637 VIE196632:VIF196637 VSA196632:VSB196637 WBW196632:WBX196637 WLS196632:WLT196637 WVO196632:WVP196637 G262168:H262173 JC262168:JD262173 SY262168:SZ262173 ACU262168:ACV262173 AMQ262168:AMR262173 AWM262168:AWN262173 BGI262168:BGJ262173 BQE262168:BQF262173 CAA262168:CAB262173 CJW262168:CJX262173 CTS262168:CTT262173 DDO262168:DDP262173 DNK262168:DNL262173 DXG262168:DXH262173 EHC262168:EHD262173 EQY262168:EQZ262173 FAU262168:FAV262173 FKQ262168:FKR262173 FUM262168:FUN262173 GEI262168:GEJ262173 GOE262168:GOF262173 GYA262168:GYB262173 HHW262168:HHX262173 HRS262168:HRT262173 IBO262168:IBP262173 ILK262168:ILL262173 IVG262168:IVH262173 JFC262168:JFD262173 JOY262168:JOZ262173 JYU262168:JYV262173 KIQ262168:KIR262173 KSM262168:KSN262173 LCI262168:LCJ262173 LME262168:LMF262173 LWA262168:LWB262173 MFW262168:MFX262173 MPS262168:MPT262173 MZO262168:MZP262173 NJK262168:NJL262173 NTG262168:NTH262173 ODC262168:ODD262173 OMY262168:OMZ262173 OWU262168:OWV262173 PGQ262168:PGR262173 PQM262168:PQN262173 QAI262168:QAJ262173 QKE262168:QKF262173 QUA262168:QUB262173 RDW262168:RDX262173 RNS262168:RNT262173 RXO262168:RXP262173 SHK262168:SHL262173 SRG262168:SRH262173 TBC262168:TBD262173 TKY262168:TKZ262173 TUU262168:TUV262173 UEQ262168:UER262173 UOM262168:UON262173 UYI262168:UYJ262173 VIE262168:VIF262173 VSA262168:VSB262173 WBW262168:WBX262173 WLS262168:WLT262173 WVO262168:WVP262173 G327704:H327709 JC327704:JD327709 SY327704:SZ327709 ACU327704:ACV327709 AMQ327704:AMR327709 AWM327704:AWN327709 BGI327704:BGJ327709 BQE327704:BQF327709 CAA327704:CAB327709 CJW327704:CJX327709 CTS327704:CTT327709 DDO327704:DDP327709 DNK327704:DNL327709 DXG327704:DXH327709 EHC327704:EHD327709 EQY327704:EQZ327709 FAU327704:FAV327709 FKQ327704:FKR327709 FUM327704:FUN327709 GEI327704:GEJ327709 GOE327704:GOF327709 GYA327704:GYB327709 HHW327704:HHX327709 HRS327704:HRT327709 IBO327704:IBP327709 ILK327704:ILL327709 IVG327704:IVH327709 JFC327704:JFD327709 JOY327704:JOZ327709 JYU327704:JYV327709 KIQ327704:KIR327709 KSM327704:KSN327709 LCI327704:LCJ327709 LME327704:LMF327709 LWA327704:LWB327709 MFW327704:MFX327709 MPS327704:MPT327709 MZO327704:MZP327709 NJK327704:NJL327709 NTG327704:NTH327709 ODC327704:ODD327709 OMY327704:OMZ327709 OWU327704:OWV327709 PGQ327704:PGR327709 PQM327704:PQN327709 QAI327704:QAJ327709 QKE327704:QKF327709 QUA327704:QUB327709 RDW327704:RDX327709 RNS327704:RNT327709 RXO327704:RXP327709 SHK327704:SHL327709 SRG327704:SRH327709 TBC327704:TBD327709 TKY327704:TKZ327709 TUU327704:TUV327709 UEQ327704:UER327709 UOM327704:UON327709 UYI327704:UYJ327709 VIE327704:VIF327709 VSA327704:VSB327709 WBW327704:WBX327709 WLS327704:WLT327709 WVO327704:WVP327709 G393240:H393245 JC393240:JD393245 SY393240:SZ393245 ACU393240:ACV393245 AMQ393240:AMR393245 AWM393240:AWN393245 BGI393240:BGJ393245 BQE393240:BQF393245 CAA393240:CAB393245 CJW393240:CJX393245 CTS393240:CTT393245 DDO393240:DDP393245 DNK393240:DNL393245 DXG393240:DXH393245 EHC393240:EHD393245 EQY393240:EQZ393245 FAU393240:FAV393245 FKQ393240:FKR393245 FUM393240:FUN393245 GEI393240:GEJ393245 GOE393240:GOF393245 GYA393240:GYB393245 HHW393240:HHX393245 HRS393240:HRT393245 IBO393240:IBP393245 ILK393240:ILL393245 IVG393240:IVH393245 JFC393240:JFD393245 JOY393240:JOZ393245 JYU393240:JYV393245 KIQ393240:KIR393245 KSM393240:KSN393245 LCI393240:LCJ393245 LME393240:LMF393245 LWA393240:LWB393245 MFW393240:MFX393245 MPS393240:MPT393245 MZO393240:MZP393245 NJK393240:NJL393245 NTG393240:NTH393245 ODC393240:ODD393245 OMY393240:OMZ393245 OWU393240:OWV393245 PGQ393240:PGR393245 PQM393240:PQN393245 QAI393240:QAJ393245 QKE393240:QKF393245 QUA393240:QUB393245 RDW393240:RDX393245 RNS393240:RNT393245 RXO393240:RXP393245 SHK393240:SHL393245 SRG393240:SRH393245 TBC393240:TBD393245 TKY393240:TKZ393245 TUU393240:TUV393245 UEQ393240:UER393245 UOM393240:UON393245 UYI393240:UYJ393245 VIE393240:VIF393245 VSA393240:VSB393245 WBW393240:WBX393245 WLS393240:WLT393245 WVO393240:WVP393245 G458776:H458781 JC458776:JD458781 SY458776:SZ458781 ACU458776:ACV458781 AMQ458776:AMR458781 AWM458776:AWN458781 BGI458776:BGJ458781 BQE458776:BQF458781 CAA458776:CAB458781 CJW458776:CJX458781 CTS458776:CTT458781 DDO458776:DDP458781 DNK458776:DNL458781 DXG458776:DXH458781 EHC458776:EHD458781 EQY458776:EQZ458781 FAU458776:FAV458781 FKQ458776:FKR458781 FUM458776:FUN458781 GEI458776:GEJ458781 GOE458776:GOF458781 GYA458776:GYB458781 HHW458776:HHX458781 HRS458776:HRT458781 IBO458776:IBP458781 ILK458776:ILL458781 IVG458776:IVH458781 JFC458776:JFD458781 JOY458776:JOZ458781 JYU458776:JYV458781 KIQ458776:KIR458781 KSM458776:KSN458781 LCI458776:LCJ458781 LME458776:LMF458781 LWA458776:LWB458781 MFW458776:MFX458781 MPS458776:MPT458781 MZO458776:MZP458781 NJK458776:NJL458781 NTG458776:NTH458781 ODC458776:ODD458781 OMY458776:OMZ458781 OWU458776:OWV458781 PGQ458776:PGR458781 PQM458776:PQN458781 QAI458776:QAJ458781 QKE458776:QKF458781 QUA458776:QUB458781 RDW458776:RDX458781 RNS458776:RNT458781 RXO458776:RXP458781 SHK458776:SHL458781 SRG458776:SRH458781 TBC458776:TBD458781 TKY458776:TKZ458781 TUU458776:TUV458781 UEQ458776:UER458781 UOM458776:UON458781 UYI458776:UYJ458781 VIE458776:VIF458781 VSA458776:VSB458781 WBW458776:WBX458781 WLS458776:WLT458781 WVO458776:WVP458781 G524312:H524317 JC524312:JD524317 SY524312:SZ524317 ACU524312:ACV524317 AMQ524312:AMR524317 AWM524312:AWN524317 BGI524312:BGJ524317 BQE524312:BQF524317 CAA524312:CAB524317 CJW524312:CJX524317 CTS524312:CTT524317 DDO524312:DDP524317 DNK524312:DNL524317 DXG524312:DXH524317 EHC524312:EHD524317 EQY524312:EQZ524317 FAU524312:FAV524317 FKQ524312:FKR524317 FUM524312:FUN524317 GEI524312:GEJ524317 GOE524312:GOF524317 GYA524312:GYB524317 HHW524312:HHX524317 HRS524312:HRT524317 IBO524312:IBP524317 ILK524312:ILL524317 IVG524312:IVH524317 JFC524312:JFD524317 JOY524312:JOZ524317 JYU524312:JYV524317 KIQ524312:KIR524317 KSM524312:KSN524317 LCI524312:LCJ524317 LME524312:LMF524317 LWA524312:LWB524317 MFW524312:MFX524317 MPS524312:MPT524317 MZO524312:MZP524317 NJK524312:NJL524317 NTG524312:NTH524317 ODC524312:ODD524317 OMY524312:OMZ524317 OWU524312:OWV524317 PGQ524312:PGR524317 PQM524312:PQN524317 QAI524312:QAJ524317 QKE524312:QKF524317 QUA524312:QUB524317 RDW524312:RDX524317 RNS524312:RNT524317 RXO524312:RXP524317 SHK524312:SHL524317 SRG524312:SRH524317 TBC524312:TBD524317 TKY524312:TKZ524317 TUU524312:TUV524317 UEQ524312:UER524317 UOM524312:UON524317 UYI524312:UYJ524317 VIE524312:VIF524317 VSA524312:VSB524317 WBW524312:WBX524317 WLS524312:WLT524317 WVO524312:WVP524317 G589848:H589853 JC589848:JD589853 SY589848:SZ589853 ACU589848:ACV589853 AMQ589848:AMR589853 AWM589848:AWN589853 BGI589848:BGJ589853 BQE589848:BQF589853 CAA589848:CAB589853 CJW589848:CJX589853 CTS589848:CTT589853 DDO589848:DDP589853 DNK589848:DNL589853 DXG589848:DXH589853 EHC589848:EHD589853 EQY589848:EQZ589853 FAU589848:FAV589853 FKQ589848:FKR589853 FUM589848:FUN589853 GEI589848:GEJ589853 GOE589848:GOF589853 GYA589848:GYB589853 HHW589848:HHX589853 HRS589848:HRT589853 IBO589848:IBP589853 ILK589848:ILL589853 IVG589848:IVH589853 JFC589848:JFD589853 JOY589848:JOZ589853 JYU589848:JYV589853 KIQ589848:KIR589853 KSM589848:KSN589853 LCI589848:LCJ589853 LME589848:LMF589853 LWA589848:LWB589853 MFW589848:MFX589853 MPS589848:MPT589853 MZO589848:MZP589853 NJK589848:NJL589853 NTG589848:NTH589853 ODC589848:ODD589853 OMY589848:OMZ589853 OWU589848:OWV589853 PGQ589848:PGR589853 PQM589848:PQN589853 QAI589848:QAJ589853 QKE589848:QKF589853 QUA589848:QUB589853 RDW589848:RDX589853 RNS589848:RNT589853 RXO589848:RXP589853 SHK589848:SHL589853 SRG589848:SRH589853 TBC589848:TBD589853 TKY589848:TKZ589853 TUU589848:TUV589853 UEQ589848:UER589853 UOM589848:UON589853 UYI589848:UYJ589853 VIE589848:VIF589853 VSA589848:VSB589853 WBW589848:WBX589853 WLS589848:WLT589853 WVO589848:WVP589853 G655384:H655389 JC655384:JD655389 SY655384:SZ655389 ACU655384:ACV655389 AMQ655384:AMR655389 AWM655384:AWN655389 BGI655384:BGJ655389 BQE655384:BQF655389 CAA655384:CAB655389 CJW655384:CJX655389 CTS655384:CTT655389 DDO655384:DDP655389 DNK655384:DNL655389 DXG655384:DXH655389 EHC655384:EHD655389 EQY655384:EQZ655389 FAU655384:FAV655389 FKQ655384:FKR655389 FUM655384:FUN655389 GEI655384:GEJ655389 GOE655384:GOF655389 GYA655384:GYB655389 HHW655384:HHX655389 HRS655384:HRT655389 IBO655384:IBP655389 ILK655384:ILL655389 IVG655384:IVH655389 JFC655384:JFD655389 JOY655384:JOZ655389 JYU655384:JYV655389 KIQ655384:KIR655389 KSM655384:KSN655389 LCI655384:LCJ655389 LME655384:LMF655389 LWA655384:LWB655389 MFW655384:MFX655389 MPS655384:MPT655389 MZO655384:MZP655389 NJK655384:NJL655389 NTG655384:NTH655389 ODC655384:ODD655389 OMY655384:OMZ655389 OWU655384:OWV655389 PGQ655384:PGR655389 PQM655384:PQN655389 QAI655384:QAJ655389 QKE655384:QKF655389 QUA655384:QUB655389 RDW655384:RDX655389 RNS655384:RNT655389 RXO655384:RXP655389 SHK655384:SHL655389 SRG655384:SRH655389 TBC655384:TBD655389 TKY655384:TKZ655389 TUU655384:TUV655389 UEQ655384:UER655389 UOM655384:UON655389 UYI655384:UYJ655389 VIE655384:VIF655389 VSA655384:VSB655389 WBW655384:WBX655389 WLS655384:WLT655389 WVO655384:WVP655389 G720920:H720925 JC720920:JD720925 SY720920:SZ720925 ACU720920:ACV720925 AMQ720920:AMR720925 AWM720920:AWN720925 BGI720920:BGJ720925 BQE720920:BQF720925 CAA720920:CAB720925 CJW720920:CJX720925 CTS720920:CTT720925 DDO720920:DDP720925 DNK720920:DNL720925 DXG720920:DXH720925 EHC720920:EHD720925 EQY720920:EQZ720925 FAU720920:FAV720925 FKQ720920:FKR720925 FUM720920:FUN720925 GEI720920:GEJ720925 GOE720920:GOF720925 GYA720920:GYB720925 HHW720920:HHX720925 HRS720920:HRT720925 IBO720920:IBP720925 ILK720920:ILL720925 IVG720920:IVH720925 JFC720920:JFD720925 JOY720920:JOZ720925 JYU720920:JYV720925 KIQ720920:KIR720925 KSM720920:KSN720925 LCI720920:LCJ720925 LME720920:LMF720925 LWA720920:LWB720925 MFW720920:MFX720925 MPS720920:MPT720925 MZO720920:MZP720925 NJK720920:NJL720925 NTG720920:NTH720925 ODC720920:ODD720925 OMY720920:OMZ720925 OWU720920:OWV720925 PGQ720920:PGR720925 PQM720920:PQN720925 QAI720920:QAJ720925 QKE720920:QKF720925 QUA720920:QUB720925 RDW720920:RDX720925 RNS720920:RNT720925 RXO720920:RXP720925 SHK720920:SHL720925 SRG720920:SRH720925 TBC720920:TBD720925 TKY720920:TKZ720925 TUU720920:TUV720925 UEQ720920:UER720925 UOM720920:UON720925 UYI720920:UYJ720925 VIE720920:VIF720925 VSA720920:VSB720925 WBW720920:WBX720925 WLS720920:WLT720925 WVO720920:WVP720925 G786456:H786461 JC786456:JD786461 SY786456:SZ786461 ACU786456:ACV786461 AMQ786456:AMR786461 AWM786456:AWN786461 BGI786456:BGJ786461 BQE786456:BQF786461 CAA786456:CAB786461 CJW786456:CJX786461 CTS786456:CTT786461 DDO786456:DDP786461 DNK786456:DNL786461 DXG786456:DXH786461 EHC786456:EHD786461 EQY786456:EQZ786461 FAU786456:FAV786461 FKQ786456:FKR786461 FUM786456:FUN786461 GEI786456:GEJ786461 GOE786456:GOF786461 GYA786456:GYB786461 HHW786456:HHX786461 HRS786456:HRT786461 IBO786456:IBP786461 ILK786456:ILL786461 IVG786456:IVH786461 JFC786456:JFD786461 JOY786456:JOZ786461 JYU786456:JYV786461 KIQ786456:KIR786461 KSM786456:KSN786461 LCI786456:LCJ786461 LME786456:LMF786461 LWA786456:LWB786461 MFW786456:MFX786461 MPS786456:MPT786461 MZO786456:MZP786461 NJK786456:NJL786461 NTG786456:NTH786461 ODC786456:ODD786461 OMY786456:OMZ786461 OWU786456:OWV786461 PGQ786456:PGR786461 PQM786456:PQN786461 QAI786456:QAJ786461 QKE786456:QKF786461 QUA786456:QUB786461 RDW786456:RDX786461 RNS786456:RNT786461 RXO786456:RXP786461 SHK786456:SHL786461 SRG786456:SRH786461 TBC786456:TBD786461 TKY786456:TKZ786461 TUU786456:TUV786461 UEQ786456:UER786461 UOM786456:UON786461 UYI786456:UYJ786461 VIE786456:VIF786461 VSA786456:VSB786461 WBW786456:WBX786461 WLS786456:WLT786461 WVO786456:WVP786461 G851992:H851997 JC851992:JD851997 SY851992:SZ851997 ACU851992:ACV851997 AMQ851992:AMR851997 AWM851992:AWN851997 BGI851992:BGJ851997 BQE851992:BQF851997 CAA851992:CAB851997 CJW851992:CJX851997 CTS851992:CTT851997 DDO851992:DDP851997 DNK851992:DNL851997 DXG851992:DXH851997 EHC851992:EHD851997 EQY851992:EQZ851997 FAU851992:FAV851997 FKQ851992:FKR851997 FUM851992:FUN851997 GEI851992:GEJ851997 GOE851992:GOF851997 GYA851992:GYB851997 HHW851992:HHX851997 HRS851992:HRT851997 IBO851992:IBP851997 ILK851992:ILL851997 IVG851992:IVH851997 JFC851992:JFD851997 JOY851992:JOZ851997 JYU851992:JYV851997 KIQ851992:KIR851997 KSM851992:KSN851997 LCI851992:LCJ851997 LME851992:LMF851997 LWA851992:LWB851997 MFW851992:MFX851997 MPS851992:MPT851997 MZO851992:MZP851997 NJK851992:NJL851997 NTG851992:NTH851997 ODC851992:ODD851997 OMY851992:OMZ851997 OWU851992:OWV851997 PGQ851992:PGR851997 PQM851992:PQN851997 QAI851992:QAJ851997 QKE851992:QKF851997 QUA851992:QUB851997 RDW851992:RDX851997 RNS851992:RNT851997 RXO851992:RXP851997 SHK851992:SHL851997 SRG851992:SRH851997 TBC851992:TBD851997 TKY851992:TKZ851997 TUU851992:TUV851997 UEQ851992:UER851997 UOM851992:UON851997 UYI851992:UYJ851997 VIE851992:VIF851997 VSA851992:VSB851997 WBW851992:WBX851997 WLS851992:WLT851997 WVO851992:WVP851997 G917528:H917533 JC917528:JD917533 SY917528:SZ917533 ACU917528:ACV917533 AMQ917528:AMR917533 AWM917528:AWN917533 BGI917528:BGJ917533 BQE917528:BQF917533 CAA917528:CAB917533 CJW917528:CJX917533 CTS917528:CTT917533 DDO917528:DDP917533 DNK917528:DNL917533 DXG917528:DXH917533 EHC917528:EHD917533 EQY917528:EQZ917533 FAU917528:FAV917533 FKQ917528:FKR917533 FUM917528:FUN917533 GEI917528:GEJ917533 GOE917528:GOF917533 GYA917528:GYB917533 HHW917528:HHX917533 HRS917528:HRT917533 IBO917528:IBP917533 ILK917528:ILL917533 IVG917528:IVH917533 JFC917528:JFD917533 JOY917528:JOZ917533 JYU917528:JYV917533 KIQ917528:KIR917533 KSM917528:KSN917533 LCI917528:LCJ917533 LME917528:LMF917533 LWA917528:LWB917533 MFW917528:MFX917533 MPS917528:MPT917533 MZO917528:MZP917533 NJK917528:NJL917533 NTG917528:NTH917533 ODC917528:ODD917533 OMY917528:OMZ917533 OWU917528:OWV917533 PGQ917528:PGR917533 PQM917528:PQN917533 QAI917528:QAJ917533 QKE917528:QKF917533 QUA917528:QUB917533 RDW917528:RDX917533 RNS917528:RNT917533 RXO917528:RXP917533 SHK917528:SHL917533 SRG917528:SRH917533 TBC917528:TBD917533 TKY917528:TKZ917533 TUU917528:TUV917533 UEQ917528:UER917533 UOM917528:UON917533 UYI917528:UYJ917533 VIE917528:VIF917533 VSA917528:VSB917533 WBW917528:WBX917533 WLS917528:WLT917533 WVO917528:WVP917533 G983064:H983069 JC983064:JD983069 SY983064:SZ983069 ACU983064:ACV983069 AMQ983064:AMR983069 AWM983064:AWN983069 BGI983064:BGJ983069 BQE983064:BQF983069 CAA983064:CAB983069 CJW983064:CJX983069 CTS983064:CTT983069 DDO983064:DDP983069 DNK983064:DNL983069 DXG983064:DXH983069 EHC983064:EHD983069 EQY983064:EQZ983069 FAU983064:FAV983069 FKQ983064:FKR983069 FUM983064:FUN983069 GEI983064:GEJ983069 GOE983064:GOF983069 GYA983064:GYB983069 HHW983064:HHX983069 HRS983064:HRT983069 IBO983064:IBP983069 ILK983064:ILL983069 IVG983064:IVH983069 JFC983064:JFD983069 JOY983064:JOZ983069 JYU983064:JYV983069 KIQ983064:KIR983069 KSM983064:KSN983069 LCI983064:LCJ983069 LME983064:LMF983069 LWA983064:LWB983069 MFW983064:MFX983069 MPS983064:MPT983069 MZO983064:MZP983069 NJK983064:NJL983069 NTG983064:NTH983069 ODC983064:ODD983069 OMY983064:OMZ983069 OWU983064:OWV983069 PGQ983064:PGR983069 PQM983064:PQN983069 QAI983064:QAJ983069 QKE983064:QKF983069 QUA983064:QUB983069 RDW983064:RDX983069 RNS983064:RNT983069 RXO983064:RXP983069 SHK983064:SHL983069 SRG983064:SRH983069 TBC983064:TBD983069 TKY983064:TKZ983069 TUU983064:TUV983069 UEQ983064:UER983069 UOM983064:UON983069 UYI983064:UYJ983069 VIE983064:VIF983069 VSA983064:VSB983069 WBW983064:WBX983069 WLS983064:WLT983069 WVO983064:WVP983069 G32:H37 JC32:JD37 SY32:SZ37 ACU32:ACV37 AMQ32:AMR37 AWM32:AWN37 BGI32:BGJ37 BQE32:BQF37 CAA32:CAB37 CJW32:CJX37 CTS32:CTT37 DDO32:DDP37 DNK32:DNL37 DXG32:DXH37 EHC32:EHD37 EQY32:EQZ37 FAU32:FAV37 FKQ32:FKR37 FUM32:FUN37 GEI32:GEJ37 GOE32:GOF37 GYA32:GYB37 HHW32:HHX37 HRS32:HRT37 IBO32:IBP37 ILK32:ILL37 IVG32:IVH37 JFC32:JFD37 JOY32:JOZ37 JYU32:JYV37 KIQ32:KIR37 KSM32:KSN37 LCI32:LCJ37 LME32:LMF37 LWA32:LWB37 MFW32:MFX37 MPS32:MPT37 MZO32:MZP37 NJK32:NJL37 NTG32:NTH37 ODC32:ODD37 OMY32:OMZ37 OWU32:OWV37 PGQ32:PGR37 PQM32:PQN37 QAI32:QAJ37 QKE32:QKF37 QUA32:QUB37 RDW32:RDX37 RNS32:RNT37 RXO32:RXP37 SHK32:SHL37 SRG32:SRH37 TBC32:TBD37 TKY32:TKZ37 TUU32:TUV37 UEQ32:UER37 UOM32:UON37 UYI32:UYJ37 VIE32:VIF37 VSA32:VSB37 WBW32:WBX37 WLS32:WLT37 WVO32:WVP37 G65568:H65573 JC65568:JD65573 SY65568:SZ65573 ACU65568:ACV65573 AMQ65568:AMR65573 AWM65568:AWN65573 BGI65568:BGJ65573 BQE65568:BQF65573 CAA65568:CAB65573 CJW65568:CJX65573 CTS65568:CTT65573 DDO65568:DDP65573 DNK65568:DNL65573 DXG65568:DXH65573 EHC65568:EHD65573 EQY65568:EQZ65573 FAU65568:FAV65573 FKQ65568:FKR65573 FUM65568:FUN65573 GEI65568:GEJ65573 GOE65568:GOF65573 GYA65568:GYB65573 HHW65568:HHX65573 HRS65568:HRT65573 IBO65568:IBP65573 ILK65568:ILL65573 IVG65568:IVH65573 JFC65568:JFD65573 JOY65568:JOZ65573 JYU65568:JYV65573 KIQ65568:KIR65573 KSM65568:KSN65573 LCI65568:LCJ65573 LME65568:LMF65573 LWA65568:LWB65573 MFW65568:MFX65573 MPS65568:MPT65573 MZO65568:MZP65573 NJK65568:NJL65573 NTG65568:NTH65573 ODC65568:ODD65573 OMY65568:OMZ65573 OWU65568:OWV65573 PGQ65568:PGR65573 PQM65568:PQN65573 QAI65568:QAJ65573 QKE65568:QKF65573 QUA65568:QUB65573 RDW65568:RDX65573 RNS65568:RNT65573 RXO65568:RXP65573 SHK65568:SHL65573 SRG65568:SRH65573 TBC65568:TBD65573 TKY65568:TKZ65573 TUU65568:TUV65573 UEQ65568:UER65573 UOM65568:UON65573 UYI65568:UYJ65573 VIE65568:VIF65573 VSA65568:VSB65573 WBW65568:WBX65573 WLS65568:WLT65573 WVO65568:WVP65573 G131104:H131109 JC131104:JD131109 SY131104:SZ131109 ACU131104:ACV131109 AMQ131104:AMR131109 AWM131104:AWN131109 BGI131104:BGJ131109 BQE131104:BQF131109 CAA131104:CAB131109 CJW131104:CJX131109 CTS131104:CTT131109 DDO131104:DDP131109 DNK131104:DNL131109 DXG131104:DXH131109 EHC131104:EHD131109 EQY131104:EQZ131109 FAU131104:FAV131109 FKQ131104:FKR131109 FUM131104:FUN131109 GEI131104:GEJ131109 GOE131104:GOF131109 GYA131104:GYB131109 HHW131104:HHX131109 HRS131104:HRT131109 IBO131104:IBP131109 ILK131104:ILL131109 IVG131104:IVH131109 JFC131104:JFD131109 JOY131104:JOZ131109 JYU131104:JYV131109 KIQ131104:KIR131109 KSM131104:KSN131109 LCI131104:LCJ131109 LME131104:LMF131109 LWA131104:LWB131109 MFW131104:MFX131109 MPS131104:MPT131109 MZO131104:MZP131109 NJK131104:NJL131109 NTG131104:NTH131109 ODC131104:ODD131109 OMY131104:OMZ131109 OWU131104:OWV131109 PGQ131104:PGR131109 PQM131104:PQN131109 QAI131104:QAJ131109 QKE131104:QKF131109 QUA131104:QUB131109 RDW131104:RDX131109 RNS131104:RNT131109 RXO131104:RXP131109 SHK131104:SHL131109 SRG131104:SRH131109 TBC131104:TBD131109 TKY131104:TKZ131109 TUU131104:TUV131109 UEQ131104:UER131109 UOM131104:UON131109 UYI131104:UYJ131109 VIE131104:VIF131109 VSA131104:VSB131109 WBW131104:WBX131109 WLS131104:WLT131109 WVO131104:WVP131109 G196640:H196645 JC196640:JD196645 SY196640:SZ196645 ACU196640:ACV196645 AMQ196640:AMR196645 AWM196640:AWN196645 BGI196640:BGJ196645 BQE196640:BQF196645 CAA196640:CAB196645 CJW196640:CJX196645 CTS196640:CTT196645 DDO196640:DDP196645 DNK196640:DNL196645 DXG196640:DXH196645 EHC196640:EHD196645 EQY196640:EQZ196645 FAU196640:FAV196645 FKQ196640:FKR196645 FUM196640:FUN196645 GEI196640:GEJ196645 GOE196640:GOF196645 GYA196640:GYB196645 HHW196640:HHX196645 HRS196640:HRT196645 IBO196640:IBP196645 ILK196640:ILL196645 IVG196640:IVH196645 JFC196640:JFD196645 JOY196640:JOZ196645 JYU196640:JYV196645 KIQ196640:KIR196645 KSM196640:KSN196645 LCI196640:LCJ196645 LME196640:LMF196645 LWA196640:LWB196645 MFW196640:MFX196645 MPS196640:MPT196645 MZO196640:MZP196645 NJK196640:NJL196645 NTG196640:NTH196645 ODC196640:ODD196645 OMY196640:OMZ196645 OWU196640:OWV196645 PGQ196640:PGR196645 PQM196640:PQN196645 QAI196640:QAJ196645 QKE196640:QKF196645 QUA196640:QUB196645 RDW196640:RDX196645 RNS196640:RNT196645 RXO196640:RXP196645 SHK196640:SHL196645 SRG196640:SRH196645 TBC196640:TBD196645 TKY196640:TKZ196645 TUU196640:TUV196645 UEQ196640:UER196645 UOM196640:UON196645 UYI196640:UYJ196645 VIE196640:VIF196645 VSA196640:VSB196645 WBW196640:WBX196645 WLS196640:WLT196645 WVO196640:WVP196645 G262176:H262181 JC262176:JD262181 SY262176:SZ262181 ACU262176:ACV262181 AMQ262176:AMR262181 AWM262176:AWN262181 BGI262176:BGJ262181 BQE262176:BQF262181 CAA262176:CAB262181 CJW262176:CJX262181 CTS262176:CTT262181 DDO262176:DDP262181 DNK262176:DNL262181 DXG262176:DXH262181 EHC262176:EHD262181 EQY262176:EQZ262181 FAU262176:FAV262181 FKQ262176:FKR262181 FUM262176:FUN262181 GEI262176:GEJ262181 GOE262176:GOF262181 GYA262176:GYB262181 HHW262176:HHX262181 HRS262176:HRT262181 IBO262176:IBP262181 ILK262176:ILL262181 IVG262176:IVH262181 JFC262176:JFD262181 JOY262176:JOZ262181 JYU262176:JYV262181 KIQ262176:KIR262181 KSM262176:KSN262181 LCI262176:LCJ262181 LME262176:LMF262181 LWA262176:LWB262181 MFW262176:MFX262181 MPS262176:MPT262181 MZO262176:MZP262181 NJK262176:NJL262181 NTG262176:NTH262181 ODC262176:ODD262181 OMY262176:OMZ262181 OWU262176:OWV262181 PGQ262176:PGR262181 PQM262176:PQN262181 QAI262176:QAJ262181 QKE262176:QKF262181 QUA262176:QUB262181 RDW262176:RDX262181 RNS262176:RNT262181 RXO262176:RXP262181 SHK262176:SHL262181 SRG262176:SRH262181 TBC262176:TBD262181 TKY262176:TKZ262181 TUU262176:TUV262181 UEQ262176:UER262181 UOM262176:UON262181 UYI262176:UYJ262181 VIE262176:VIF262181 VSA262176:VSB262181 WBW262176:WBX262181 WLS262176:WLT262181 WVO262176:WVP262181 G327712:H327717 JC327712:JD327717 SY327712:SZ327717 ACU327712:ACV327717 AMQ327712:AMR327717 AWM327712:AWN327717 BGI327712:BGJ327717 BQE327712:BQF327717 CAA327712:CAB327717 CJW327712:CJX327717 CTS327712:CTT327717 DDO327712:DDP327717 DNK327712:DNL327717 DXG327712:DXH327717 EHC327712:EHD327717 EQY327712:EQZ327717 FAU327712:FAV327717 FKQ327712:FKR327717 FUM327712:FUN327717 GEI327712:GEJ327717 GOE327712:GOF327717 GYA327712:GYB327717 HHW327712:HHX327717 HRS327712:HRT327717 IBO327712:IBP327717 ILK327712:ILL327717 IVG327712:IVH327717 JFC327712:JFD327717 JOY327712:JOZ327717 JYU327712:JYV327717 KIQ327712:KIR327717 KSM327712:KSN327717 LCI327712:LCJ327717 LME327712:LMF327717 LWA327712:LWB327717 MFW327712:MFX327717 MPS327712:MPT327717 MZO327712:MZP327717 NJK327712:NJL327717 NTG327712:NTH327717 ODC327712:ODD327717 OMY327712:OMZ327717 OWU327712:OWV327717 PGQ327712:PGR327717 PQM327712:PQN327717 QAI327712:QAJ327717 QKE327712:QKF327717 QUA327712:QUB327717 RDW327712:RDX327717 RNS327712:RNT327717 RXO327712:RXP327717 SHK327712:SHL327717 SRG327712:SRH327717 TBC327712:TBD327717 TKY327712:TKZ327717 TUU327712:TUV327717 UEQ327712:UER327717 UOM327712:UON327717 UYI327712:UYJ327717 VIE327712:VIF327717 VSA327712:VSB327717 WBW327712:WBX327717 WLS327712:WLT327717 WVO327712:WVP327717 G393248:H393253 JC393248:JD393253 SY393248:SZ393253 ACU393248:ACV393253 AMQ393248:AMR393253 AWM393248:AWN393253 BGI393248:BGJ393253 BQE393248:BQF393253 CAA393248:CAB393253 CJW393248:CJX393253 CTS393248:CTT393253 DDO393248:DDP393253 DNK393248:DNL393253 DXG393248:DXH393253 EHC393248:EHD393253 EQY393248:EQZ393253 FAU393248:FAV393253 FKQ393248:FKR393253 FUM393248:FUN393253 GEI393248:GEJ393253 GOE393248:GOF393253 GYA393248:GYB393253 HHW393248:HHX393253 HRS393248:HRT393253 IBO393248:IBP393253 ILK393248:ILL393253 IVG393248:IVH393253 JFC393248:JFD393253 JOY393248:JOZ393253 JYU393248:JYV393253 KIQ393248:KIR393253 KSM393248:KSN393253 LCI393248:LCJ393253 LME393248:LMF393253 LWA393248:LWB393253 MFW393248:MFX393253 MPS393248:MPT393253 MZO393248:MZP393253 NJK393248:NJL393253 NTG393248:NTH393253 ODC393248:ODD393253 OMY393248:OMZ393253 OWU393248:OWV393253 PGQ393248:PGR393253 PQM393248:PQN393253 QAI393248:QAJ393253 QKE393248:QKF393253 QUA393248:QUB393253 RDW393248:RDX393253 RNS393248:RNT393253 RXO393248:RXP393253 SHK393248:SHL393253 SRG393248:SRH393253 TBC393248:TBD393253 TKY393248:TKZ393253 TUU393248:TUV393253 UEQ393248:UER393253 UOM393248:UON393253 UYI393248:UYJ393253 VIE393248:VIF393253 VSA393248:VSB393253 WBW393248:WBX393253 WLS393248:WLT393253 WVO393248:WVP393253 G458784:H458789 JC458784:JD458789 SY458784:SZ458789 ACU458784:ACV458789 AMQ458784:AMR458789 AWM458784:AWN458789 BGI458784:BGJ458789 BQE458784:BQF458789 CAA458784:CAB458789 CJW458784:CJX458789 CTS458784:CTT458789 DDO458784:DDP458789 DNK458784:DNL458789 DXG458784:DXH458789 EHC458784:EHD458789 EQY458784:EQZ458789 FAU458784:FAV458789 FKQ458784:FKR458789 FUM458784:FUN458789 GEI458784:GEJ458789 GOE458784:GOF458789 GYA458784:GYB458789 HHW458784:HHX458789 HRS458784:HRT458789 IBO458784:IBP458789 ILK458784:ILL458789 IVG458784:IVH458789 JFC458784:JFD458789 JOY458784:JOZ458789 JYU458784:JYV458789 KIQ458784:KIR458789 KSM458784:KSN458789 LCI458784:LCJ458789 LME458784:LMF458789 LWA458784:LWB458789 MFW458784:MFX458789 MPS458784:MPT458789 MZO458784:MZP458789 NJK458784:NJL458789 NTG458784:NTH458789 ODC458784:ODD458789 OMY458784:OMZ458789 OWU458784:OWV458789 PGQ458784:PGR458789 PQM458784:PQN458789 QAI458784:QAJ458789 QKE458784:QKF458789 QUA458784:QUB458789 RDW458784:RDX458789 RNS458784:RNT458789 RXO458784:RXP458789 SHK458784:SHL458789 SRG458784:SRH458789 TBC458784:TBD458789 TKY458784:TKZ458789 TUU458784:TUV458789 UEQ458784:UER458789 UOM458784:UON458789 UYI458784:UYJ458789 VIE458784:VIF458789 VSA458784:VSB458789 WBW458784:WBX458789 WLS458784:WLT458789 WVO458784:WVP458789 G524320:H524325 JC524320:JD524325 SY524320:SZ524325 ACU524320:ACV524325 AMQ524320:AMR524325 AWM524320:AWN524325 BGI524320:BGJ524325 BQE524320:BQF524325 CAA524320:CAB524325 CJW524320:CJX524325 CTS524320:CTT524325 DDO524320:DDP524325 DNK524320:DNL524325 DXG524320:DXH524325 EHC524320:EHD524325 EQY524320:EQZ524325 FAU524320:FAV524325 FKQ524320:FKR524325 FUM524320:FUN524325 GEI524320:GEJ524325 GOE524320:GOF524325 GYA524320:GYB524325 HHW524320:HHX524325 HRS524320:HRT524325 IBO524320:IBP524325 ILK524320:ILL524325 IVG524320:IVH524325 JFC524320:JFD524325 JOY524320:JOZ524325 JYU524320:JYV524325 KIQ524320:KIR524325 KSM524320:KSN524325 LCI524320:LCJ524325 LME524320:LMF524325 LWA524320:LWB524325 MFW524320:MFX524325 MPS524320:MPT524325 MZO524320:MZP524325 NJK524320:NJL524325 NTG524320:NTH524325 ODC524320:ODD524325 OMY524320:OMZ524325 OWU524320:OWV524325 PGQ524320:PGR524325 PQM524320:PQN524325 QAI524320:QAJ524325 QKE524320:QKF524325 QUA524320:QUB524325 RDW524320:RDX524325 RNS524320:RNT524325 RXO524320:RXP524325 SHK524320:SHL524325 SRG524320:SRH524325 TBC524320:TBD524325 TKY524320:TKZ524325 TUU524320:TUV524325 UEQ524320:UER524325 UOM524320:UON524325 UYI524320:UYJ524325 VIE524320:VIF524325 VSA524320:VSB524325 WBW524320:WBX524325 WLS524320:WLT524325 WVO524320:WVP524325 G589856:H589861 JC589856:JD589861 SY589856:SZ589861 ACU589856:ACV589861 AMQ589856:AMR589861 AWM589856:AWN589861 BGI589856:BGJ589861 BQE589856:BQF589861 CAA589856:CAB589861 CJW589856:CJX589861 CTS589856:CTT589861 DDO589856:DDP589861 DNK589856:DNL589861 DXG589856:DXH589861 EHC589856:EHD589861 EQY589856:EQZ589861 FAU589856:FAV589861 FKQ589856:FKR589861 FUM589856:FUN589861 GEI589856:GEJ589861 GOE589856:GOF589861 GYA589856:GYB589861 HHW589856:HHX589861 HRS589856:HRT589861 IBO589856:IBP589861 ILK589856:ILL589861 IVG589856:IVH589861 JFC589856:JFD589861 JOY589856:JOZ589861 JYU589856:JYV589861 KIQ589856:KIR589861 KSM589856:KSN589861 LCI589856:LCJ589861 LME589856:LMF589861 LWA589856:LWB589861 MFW589856:MFX589861 MPS589856:MPT589861 MZO589856:MZP589861 NJK589856:NJL589861 NTG589856:NTH589861 ODC589856:ODD589861 OMY589856:OMZ589861 OWU589856:OWV589861 PGQ589856:PGR589861 PQM589856:PQN589861 QAI589856:QAJ589861 QKE589856:QKF589861 QUA589856:QUB589861 RDW589856:RDX589861 RNS589856:RNT589861 RXO589856:RXP589861 SHK589856:SHL589861 SRG589856:SRH589861 TBC589856:TBD589861 TKY589856:TKZ589861 TUU589856:TUV589861 UEQ589856:UER589861 UOM589856:UON589861 UYI589856:UYJ589861 VIE589856:VIF589861 VSA589856:VSB589861 WBW589856:WBX589861 WLS589856:WLT589861 WVO589856:WVP589861 G655392:H655397 JC655392:JD655397 SY655392:SZ655397 ACU655392:ACV655397 AMQ655392:AMR655397 AWM655392:AWN655397 BGI655392:BGJ655397 BQE655392:BQF655397 CAA655392:CAB655397 CJW655392:CJX655397 CTS655392:CTT655397 DDO655392:DDP655397 DNK655392:DNL655397 DXG655392:DXH655397 EHC655392:EHD655397 EQY655392:EQZ655397 FAU655392:FAV655397 FKQ655392:FKR655397 FUM655392:FUN655397 GEI655392:GEJ655397 GOE655392:GOF655397 GYA655392:GYB655397 HHW655392:HHX655397 HRS655392:HRT655397 IBO655392:IBP655397 ILK655392:ILL655397 IVG655392:IVH655397 JFC655392:JFD655397 JOY655392:JOZ655397 JYU655392:JYV655397 KIQ655392:KIR655397 KSM655392:KSN655397 LCI655392:LCJ655397 LME655392:LMF655397 LWA655392:LWB655397 MFW655392:MFX655397 MPS655392:MPT655397 MZO655392:MZP655397 NJK655392:NJL655397 NTG655392:NTH655397 ODC655392:ODD655397 OMY655392:OMZ655397 OWU655392:OWV655397 PGQ655392:PGR655397 PQM655392:PQN655397 QAI655392:QAJ655397 QKE655392:QKF655397 QUA655392:QUB655397 RDW655392:RDX655397 RNS655392:RNT655397 RXO655392:RXP655397 SHK655392:SHL655397 SRG655392:SRH655397 TBC655392:TBD655397 TKY655392:TKZ655397 TUU655392:TUV655397 UEQ655392:UER655397 UOM655392:UON655397 UYI655392:UYJ655397 VIE655392:VIF655397 VSA655392:VSB655397 WBW655392:WBX655397 WLS655392:WLT655397 WVO655392:WVP655397 G720928:H720933 JC720928:JD720933 SY720928:SZ720933 ACU720928:ACV720933 AMQ720928:AMR720933 AWM720928:AWN720933 BGI720928:BGJ720933 BQE720928:BQF720933 CAA720928:CAB720933 CJW720928:CJX720933 CTS720928:CTT720933 DDO720928:DDP720933 DNK720928:DNL720933 DXG720928:DXH720933 EHC720928:EHD720933 EQY720928:EQZ720933 FAU720928:FAV720933 FKQ720928:FKR720933 FUM720928:FUN720933 GEI720928:GEJ720933 GOE720928:GOF720933 GYA720928:GYB720933 HHW720928:HHX720933 HRS720928:HRT720933 IBO720928:IBP720933 ILK720928:ILL720933 IVG720928:IVH720933 JFC720928:JFD720933 JOY720928:JOZ720933 JYU720928:JYV720933 KIQ720928:KIR720933 KSM720928:KSN720933 LCI720928:LCJ720933 LME720928:LMF720933 LWA720928:LWB720933 MFW720928:MFX720933 MPS720928:MPT720933 MZO720928:MZP720933 NJK720928:NJL720933 NTG720928:NTH720933 ODC720928:ODD720933 OMY720928:OMZ720933 OWU720928:OWV720933 PGQ720928:PGR720933 PQM720928:PQN720933 QAI720928:QAJ720933 QKE720928:QKF720933 QUA720928:QUB720933 RDW720928:RDX720933 RNS720928:RNT720933 RXO720928:RXP720933 SHK720928:SHL720933 SRG720928:SRH720933 TBC720928:TBD720933 TKY720928:TKZ720933 TUU720928:TUV720933 UEQ720928:UER720933 UOM720928:UON720933 UYI720928:UYJ720933 VIE720928:VIF720933 VSA720928:VSB720933 WBW720928:WBX720933 WLS720928:WLT720933 WVO720928:WVP720933 G786464:H786469 JC786464:JD786469 SY786464:SZ786469 ACU786464:ACV786469 AMQ786464:AMR786469 AWM786464:AWN786469 BGI786464:BGJ786469 BQE786464:BQF786469 CAA786464:CAB786469 CJW786464:CJX786469 CTS786464:CTT786469 DDO786464:DDP786469 DNK786464:DNL786469 DXG786464:DXH786469 EHC786464:EHD786469 EQY786464:EQZ786469 FAU786464:FAV786469 FKQ786464:FKR786469 FUM786464:FUN786469 GEI786464:GEJ786469 GOE786464:GOF786469 GYA786464:GYB786469 HHW786464:HHX786469 HRS786464:HRT786469 IBO786464:IBP786469 ILK786464:ILL786469 IVG786464:IVH786469 JFC786464:JFD786469 JOY786464:JOZ786469 JYU786464:JYV786469 KIQ786464:KIR786469 KSM786464:KSN786469 LCI786464:LCJ786469 LME786464:LMF786469 LWA786464:LWB786469 MFW786464:MFX786469 MPS786464:MPT786469 MZO786464:MZP786469 NJK786464:NJL786469 NTG786464:NTH786469 ODC786464:ODD786469 OMY786464:OMZ786469 OWU786464:OWV786469 PGQ786464:PGR786469 PQM786464:PQN786469 QAI786464:QAJ786469 QKE786464:QKF786469 QUA786464:QUB786469 RDW786464:RDX786469 RNS786464:RNT786469 RXO786464:RXP786469 SHK786464:SHL786469 SRG786464:SRH786469 TBC786464:TBD786469 TKY786464:TKZ786469 TUU786464:TUV786469 UEQ786464:UER786469 UOM786464:UON786469 UYI786464:UYJ786469 VIE786464:VIF786469 VSA786464:VSB786469 WBW786464:WBX786469 WLS786464:WLT786469 WVO786464:WVP786469 G852000:H852005 JC852000:JD852005 SY852000:SZ852005 ACU852000:ACV852005 AMQ852000:AMR852005 AWM852000:AWN852005 BGI852000:BGJ852005 BQE852000:BQF852005 CAA852000:CAB852005 CJW852000:CJX852005 CTS852000:CTT852005 DDO852000:DDP852005 DNK852000:DNL852005 DXG852000:DXH852005 EHC852000:EHD852005 EQY852000:EQZ852005 FAU852000:FAV852005 FKQ852000:FKR852005 FUM852000:FUN852005 GEI852000:GEJ852005 GOE852000:GOF852005 GYA852000:GYB852005 HHW852000:HHX852005 HRS852000:HRT852005 IBO852000:IBP852005 ILK852000:ILL852005 IVG852000:IVH852005 JFC852000:JFD852005 JOY852000:JOZ852005 JYU852000:JYV852005 KIQ852000:KIR852005 KSM852000:KSN852005 LCI852000:LCJ852005 LME852000:LMF852005 LWA852000:LWB852005 MFW852000:MFX852005 MPS852000:MPT852005 MZO852000:MZP852005 NJK852000:NJL852005 NTG852000:NTH852005 ODC852000:ODD852005 OMY852000:OMZ852005 OWU852000:OWV852005 PGQ852000:PGR852005 PQM852000:PQN852005 QAI852000:QAJ852005 QKE852000:QKF852005 QUA852000:QUB852005 RDW852000:RDX852005 RNS852000:RNT852005 RXO852000:RXP852005 SHK852000:SHL852005 SRG852000:SRH852005 TBC852000:TBD852005 TKY852000:TKZ852005 TUU852000:TUV852005 UEQ852000:UER852005 UOM852000:UON852005 UYI852000:UYJ852005 VIE852000:VIF852005 VSA852000:VSB852005 WBW852000:WBX852005 WLS852000:WLT852005 WVO852000:WVP852005 G917536:H917541 JC917536:JD917541 SY917536:SZ917541 ACU917536:ACV917541 AMQ917536:AMR917541 AWM917536:AWN917541 BGI917536:BGJ917541 BQE917536:BQF917541 CAA917536:CAB917541 CJW917536:CJX917541 CTS917536:CTT917541 DDO917536:DDP917541 DNK917536:DNL917541 DXG917536:DXH917541 EHC917536:EHD917541 EQY917536:EQZ917541 FAU917536:FAV917541 FKQ917536:FKR917541 FUM917536:FUN917541 GEI917536:GEJ917541 GOE917536:GOF917541 GYA917536:GYB917541 HHW917536:HHX917541 HRS917536:HRT917541 IBO917536:IBP917541 ILK917536:ILL917541 IVG917536:IVH917541 JFC917536:JFD917541 JOY917536:JOZ917541 JYU917536:JYV917541 KIQ917536:KIR917541 KSM917536:KSN917541 LCI917536:LCJ917541 LME917536:LMF917541 LWA917536:LWB917541 MFW917536:MFX917541 MPS917536:MPT917541 MZO917536:MZP917541 NJK917536:NJL917541 NTG917536:NTH917541 ODC917536:ODD917541 OMY917536:OMZ917541 OWU917536:OWV917541 PGQ917536:PGR917541 PQM917536:PQN917541 QAI917536:QAJ917541 QKE917536:QKF917541 QUA917536:QUB917541 RDW917536:RDX917541 RNS917536:RNT917541 RXO917536:RXP917541 SHK917536:SHL917541 SRG917536:SRH917541 TBC917536:TBD917541 TKY917536:TKZ917541 TUU917536:TUV917541 UEQ917536:UER917541 UOM917536:UON917541 UYI917536:UYJ917541 VIE917536:VIF917541 VSA917536:VSB917541 WBW917536:WBX917541 WLS917536:WLT917541 WVO917536:WVP917541 G983072:H983077 JC983072:JD983077 SY983072:SZ983077 ACU983072:ACV983077 AMQ983072:AMR983077 AWM983072:AWN983077 BGI983072:BGJ983077 BQE983072:BQF983077 CAA983072:CAB983077 CJW983072:CJX983077 CTS983072:CTT983077 DDO983072:DDP983077 DNK983072:DNL983077 DXG983072:DXH983077 EHC983072:EHD983077 EQY983072:EQZ983077 FAU983072:FAV983077 FKQ983072:FKR983077 FUM983072:FUN983077 GEI983072:GEJ983077 GOE983072:GOF983077 GYA983072:GYB983077 HHW983072:HHX983077 HRS983072:HRT983077 IBO983072:IBP983077 ILK983072:ILL983077 IVG983072:IVH983077 JFC983072:JFD983077 JOY983072:JOZ983077 JYU983072:JYV983077 KIQ983072:KIR983077 KSM983072:KSN983077 LCI983072:LCJ983077 LME983072:LMF983077 LWA983072:LWB983077 MFW983072:MFX983077 MPS983072:MPT983077 MZO983072:MZP983077 NJK983072:NJL983077 NTG983072:NTH983077 ODC983072:ODD983077 OMY983072:OMZ983077 OWU983072:OWV983077 PGQ983072:PGR983077 PQM983072:PQN983077 QAI983072:QAJ983077 QKE983072:QKF983077 QUA983072:QUB983077 RDW983072:RDX983077 RNS983072:RNT983077 RXO983072:RXP983077 SHK983072:SHL983077 SRG983072:SRH983077 TBC983072:TBD983077 TKY983072:TKZ983077 TUU983072:TUV983077 UEQ983072:UER983077 UOM983072:UON983077 UYI983072:UYJ983077 VIE983072:VIF983077 VSA983072:VSB983077 WBW983072:WBX983077 WLS983072:WLT983077 WVO983072:WVP983077 G40:H45 JC40:JD45 SY40:SZ45 ACU40:ACV45 AMQ40:AMR45 AWM40:AWN45 BGI40:BGJ45 BQE40:BQF45 CAA40:CAB45 CJW40:CJX45 CTS40:CTT45 DDO40:DDP45 DNK40:DNL45 DXG40:DXH45 EHC40:EHD45 EQY40:EQZ45 FAU40:FAV45 FKQ40:FKR45 FUM40:FUN45 GEI40:GEJ45 GOE40:GOF45 GYA40:GYB45 HHW40:HHX45 HRS40:HRT45 IBO40:IBP45 ILK40:ILL45 IVG40:IVH45 JFC40:JFD45 JOY40:JOZ45 JYU40:JYV45 KIQ40:KIR45 KSM40:KSN45 LCI40:LCJ45 LME40:LMF45 LWA40:LWB45 MFW40:MFX45 MPS40:MPT45 MZO40:MZP45 NJK40:NJL45 NTG40:NTH45 ODC40:ODD45 OMY40:OMZ45 OWU40:OWV45 PGQ40:PGR45 PQM40:PQN45 QAI40:QAJ45 QKE40:QKF45 QUA40:QUB45 RDW40:RDX45 RNS40:RNT45 RXO40:RXP45 SHK40:SHL45 SRG40:SRH45 TBC40:TBD45 TKY40:TKZ45 TUU40:TUV45 UEQ40:UER45 UOM40:UON45 UYI40:UYJ45 VIE40:VIF45 VSA40:VSB45 WBW40:WBX45 WLS40:WLT45 WVO40:WVP45 G65576:H65581 JC65576:JD65581 SY65576:SZ65581 ACU65576:ACV65581 AMQ65576:AMR65581 AWM65576:AWN65581 BGI65576:BGJ65581 BQE65576:BQF65581 CAA65576:CAB65581 CJW65576:CJX65581 CTS65576:CTT65581 DDO65576:DDP65581 DNK65576:DNL65581 DXG65576:DXH65581 EHC65576:EHD65581 EQY65576:EQZ65581 FAU65576:FAV65581 FKQ65576:FKR65581 FUM65576:FUN65581 GEI65576:GEJ65581 GOE65576:GOF65581 GYA65576:GYB65581 HHW65576:HHX65581 HRS65576:HRT65581 IBO65576:IBP65581 ILK65576:ILL65581 IVG65576:IVH65581 JFC65576:JFD65581 JOY65576:JOZ65581 JYU65576:JYV65581 KIQ65576:KIR65581 KSM65576:KSN65581 LCI65576:LCJ65581 LME65576:LMF65581 LWA65576:LWB65581 MFW65576:MFX65581 MPS65576:MPT65581 MZO65576:MZP65581 NJK65576:NJL65581 NTG65576:NTH65581 ODC65576:ODD65581 OMY65576:OMZ65581 OWU65576:OWV65581 PGQ65576:PGR65581 PQM65576:PQN65581 QAI65576:QAJ65581 QKE65576:QKF65581 QUA65576:QUB65581 RDW65576:RDX65581 RNS65576:RNT65581 RXO65576:RXP65581 SHK65576:SHL65581 SRG65576:SRH65581 TBC65576:TBD65581 TKY65576:TKZ65581 TUU65576:TUV65581 UEQ65576:UER65581 UOM65576:UON65581 UYI65576:UYJ65581 VIE65576:VIF65581 VSA65576:VSB65581 WBW65576:WBX65581 WLS65576:WLT65581 WVO65576:WVP65581 G131112:H131117 JC131112:JD131117 SY131112:SZ131117 ACU131112:ACV131117 AMQ131112:AMR131117 AWM131112:AWN131117 BGI131112:BGJ131117 BQE131112:BQF131117 CAA131112:CAB131117 CJW131112:CJX131117 CTS131112:CTT131117 DDO131112:DDP131117 DNK131112:DNL131117 DXG131112:DXH131117 EHC131112:EHD131117 EQY131112:EQZ131117 FAU131112:FAV131117 FKQ131112:FKR131117 FUM131112:FUN131117 GEI131112:GEJ131117 GOE131112:GOF131117 GYA131112:GYB131117 HHW131112:HHX131117 HRS131112:HRT131117 IBO131112:IBP131117 ILK131112:ILL131117 IVG131112:IVH131117 JFC131112:JFD131117 JOY131112:JOZ131117 JYU131112:JYV131117 KIQ131112:KIR131117 KSM131112:KSN131117 LCI131112:LCJ131117 LME131112:LMF131117 LWA131112:LWB131117 MFW131112:MFX131117 MPS131112:MPT131117 MZO131112:MZP131117 NJK131112:NJL131117 NTG131112:NTH131117 ODC131112:ODD131117 OMY131112:OMZ131117 OWU131112:OWV131117 PGQ131112:PGR131117 PQM131112:PQN131117 QAI131112:QAJ131117 QKE131112:QKF131117 QUA131112:QUB131117 RDW131112:RDX131117 RNS131112:RNT131117 RXO131112:RXP131117 SHK131112:SHL131117 SRG131112:SRH131117 TBC131112:TBD131117 TKY131112:TKZ131117 TUU131112:TUV131117 UEQ131112:UER131117 UOM131112:UON131117 UYI131112:UYJ131117 VIE131112:VIF131117 VSA131112:VSB131117 WBW131112:WBX131117 WLS131112:WLT131117 WVO131112:WVP131117 G196648:H196653 JC196648:JD196653 SY196648:SZ196653 ACU196648:ACV196653 AMQ196648:AMR196653 AWM196648:AWN196653 BGI196648:BGJ196653 BQE196648:BQF196653 CAA196648:CAB196653 CJW196648:CJX196653 CTS196648:CTT196653 DDO196648:DDP196653 DNK196648:DNL196653 DXG196648:DXH196653 EHC196648:EHD196653 EQY196648:EQZ196653 FAU196648:FAV196653 FKQ196648:FKR196653 FUM196648:FUN196653 GEI196648:GEJ196653 GOE196648:GOF196653 GYA196648:GYB196653 HHW196648:HHX196653 HRS196648:HRT196653 IBO196648:IBP196653 ILK196648:ILL196653 IVG196648:IVH196653 JFC196648:JFD196653 JOY196648:JOZ196653 JYU196648:JYV196653 KIQ196648:KIR196653 KSM196648:KSN196653 LCI196648:LCJ196653 LME196648:LMF196653 LWA196648:LWB196653 MFW196648:MFX196653 MPS196648:MPT196653 MZO196648:MZP196653 NJK196648:NJL196653 NTG196648:NTH196653 ODC196648:ODD196653 OMY196648:OMZ196653 OWU196648:OWV196653 PGQ196648:PGR196653 PQM196648:PQN196653 QAI196648:QAJ196653 QKE196648:QKF196653 QUA196648:QUB196653 RDW196648:RDX196653 RNS196648:RNT196653 RXO196648:RXP196653 SHK196648:SHL196653 SRG196648:SRH196653 TBC196648:TBD196653 TKY196648:TKZ196653 TUU196648:TUV196653 UEQ196648:UER196653 UOM196648:UON196653 UYI196648:UYJ196653 VIE196648:VIF196653 VSA196648:VSB196653 WBW196648:WBX196653 WLS196648:WLT196653 WVO196648:WVP196653 G262184:H262189 JC262184:JD262189 SY262184:SZ262189 ACU262184:ACV262189 AMQ262184:AMR262189 AWM262184:AWN262189 BGI262184:BGJ262189 BQE262184:BQF262189 CAA262184:CAB262189 CJW262184:CJX262189 CTS262184:CTT262189 DDO262184:DDP262189 DNK262184:DNL262189 DXG262184:DXH262189 EHC262184:EHD262189 EQY262184:EQZ262189 FAU262184:FAV262189 FKQ262184:FKR262189 FUM262184:FUN262189 GEI262184:GEJ262189 GOE262184:GOF262189 GYA262184:GYB262189 HHW262184:HHX262189 HRS262184:HRT262189 IBO262184:IBP262189 ILK262184:ILL262189 IVG262184:IVH262189 JFC262184:JFD262189 JOY262184:JOZ262189 JYU262184:JYV262189 KIQ262184:KIR262189 KSM262184:KSN262189 LCI262184:LCJ262189 LME262184:LMF262189 LWA262184:LWB262189 MFW262184:MFX262189 MPS262184:MPT262189 MZO262184:MZP262189 NJK262184:NJL262189 NTG262184:NTH262189 ODC262184:ODD262189 OMY262184:OMZ262189 OWU262184:OWV262189 PGQ262184:PGR262189 PQM262184:PQN262189 QAI262184:QAJ262189 QKE262184:QKF262189 QUA262184:QUB262189 RDW262184:RDX262189 RNS262184:RNT262189 RXO262184:RXP262189 SHK262184:SHL262189 SRG262184:SRH262189 TBC262184:TBD262189 TKY262184:TKZ262189 TUU262184:TUV262189 UEQ262184:UER262189 UOM262184:UON262189 UYI262184:UYJ262189 VIE262184:VIF262189 VSA262184:VSB262189 WBW262184:WBX262189 WLS262184:WLT262189 WVO262184:WVP262189 G327720:H327725 JC327720:JD327725 SY327720:SZ327725 ACU327720:ACV327725 AMQ327720:AMR327725 AWM327720:AWN327725 BGI327720:BGJ327725 BQE327720:BQF327725 CAA327720:CAB327725 CJW327720:CJX327725 CTS327720:CTT327725 DDO327720:DDP327725 DNK327720:DNL327725 DXG327720:DXH327725 EHC327720:EHD327725 EQY327720:EQZ327725 FAU327720:FAV327725 FKQ327720:FKR327725 FUM327720:FUN327725 GEI327720:GEJ327725 GOE327720:GOF327725 GYA327720:GYB327725 HHW327720:HHX327725 HRS327720:HRT327725 IBO327720:IBP327725 ILK327720:ILL327725 IVG327720:IVH327725 JFC327720:JFD327725 JOY327720:JOZ327725 JYU327720:JYV327725 KIQ327720:KIR327725 KSM327720:KSN327725 LCI327720:LCJ327725 LME327720:LMF327725 LWA327720:LWB327725 MFW327720:MFX327725 MPS327720:MPT327725 MZO327720:MZP327725 NJK327720:NJL327725 NTG327720:NTH327725 ODC327720:ODD327725 OMY327720:OMZ327725 OWU327720:OWV327725 PGQ327720:PGR327725 PQM327720:PQN327725 QAI327720:QAJ327725 QKE327720:QKF327725 QUA327720:QUB327725 RDW327720:RDX327725 RNS327720:RNT327725 RXO327720:RXP327725 SHK327720:SHL327725 SRG327720:SRH327725 TBC327720:TBD327725 TKY327720:TKZ327725 TUU327720:TUV327725 UEQ327720:UER327725 UOM327720:UON327725 UYI327720:UYJ327725 VIE327720:VIF327725 VSA327720:VSB327725 WBW327720:WBX327725 WLS327720:WLT327725 WVO327720:WVP327725 G393256:H393261 JC393256:JD393261 SY393256:SZ393261 ACU393256:ACV393261 AMQ393256:AMR393261 AWM393256:AWN393261 BGI393256:BGJ393261 BQE393256:BQF393261 CAA393256:CAB393261 CJW393256:CJX393261 CTS393256:CTT393261 DDO393256:DDP393261 DNK393256:DNL393261 DXG393256:DXH393261 EHC393256:EHD393261 EQY393256:EQZ393261 FAU393256:FAV393261 FKQ393256:FKR393261 FUM393256:FUN393261 GEI393256:GEJ393261 GOE393256:GOF393261 GYA393256:GYB393261 HHW393256:HHX393261 HRS393256:HRT393261 IBO393256:IBP393261 ILK393256:ILL393261 IVG393256:IVH393261 JFC393256:JFD393261 JOY393256:JOZ393261 JYU393256:JYV393261 KIQ393256:KIR393261 KSM393256:KSN393261 LCI393256:LCJ393261 LME393256:LMF393261 LWA393256:LWB393261 MFW393256:MFX393261 MPS393256:MPT393261 MZO393256:MZP393261 NJK393256:NJL393261 NTG393256:NTH393261 ODC393256:ODD393261 OMY393256:OMZ393261 OWU393256:OWV393261 PGQ393256:PGR393261 PQM393256:PQN393261 QAI393256:QAJ393261 QKE393256:QKF393261 QUA393256:QUB393261 RDW393256:RDX393261 RNS393256:RNT393261 RXO393256:RXP393261 SHK393256:SHL393261 SRG393256:SRH393261 TBC393256:TBD393261 TKY393256:TKZ393261 TUU393256:TUV393261 UEQ393256:UER393261 UOM393256:UON393261 UYI393256:UYJ393261 VIE393256:VIF393261 VSA393256:VSB393261 WBW393256:WBX393261 WLS393256:WLT393261 WVO393256:WVP393261 G458792:H458797 JC458792:JD458797 SY458792:SZ458797 ACU458792:ACV458797 AMQ458792:AMR458797 AWM458792:AWN458797 BGI458792:BGJ458797 BQE458792:BQF458797 CAA458792:CAB458797 CJW458792:CJX458797 CTS458792:CTT458797 DDO458792:DDP458797 DNK458792:DNL458797 DXG458792:DXH458797 EHC458792:EHD458797 EQY458792:EQZ458797 FAU458792:FAV458797 FKQ458792:FKR458797 FUM458792:FUN458797 GEI458792:GEJ458797 GOE458792:GOF458797 GYA458792:GYB458797 HHW458792:HHX458797 HRS458792:HRT458797 IBO458792:IBP458797 ILK458792:ILL458797 IVG458792:IVH458797 JFC458792:JFD458797 JOY458792:JOZ458797 JYU458792:JYV458797 KIQ458792:KIR458797 KSM458792:KSN458797 LCI458792:LCJ458797 LME458792:LMF458797 LWA458792:LWB458797 MFW458792:MFX458797 MPS458792:MPT458797 MZO458792:MZP458797 NJK458792:NJL458797 NTG458792:NTH458797 ODC458792:ODD458797 OMY458792:OMZ458797 OWU458792:OWV458797 PGQ458792:PGR458797 PQM458792:PQN458797 QAI458792:QAJ458797 QKE458792:QKF458797 QUA458792:QUB458797 RDW458792:RDX458797 RNS458792:RNT458797 RXO458792:RXP458797 SHK458792:SHL458797 SRG458792:SRH458797 TBC458792:TBD458797 TKY458792:TKZ458797 TUU458792:TUV458797 UEQ458792:UER458797 UOM458792:UON458797 UYI458792:UYJ458797 VIE458792:VIF458797 VSA458792:VSB458797 WBW458792:WBX458797 WLS458792:WLT458797 WVO458792:WVP458797 G524328:H524333 JC524328:JD524333 SY524328:SZ524333 ACU524328:ACV524333 AMQ524328:AMR524333 AWM524328:AWN524333 BGI524328:BGJ524333 BQE524328:BQF524333 CAA524328:CAB524333 CJW524328:CJX524333 CTS524328:CTT524333 DDO524328:DDP524333 DNK524328:DNL524333 DXG524328:DXH524333 EHC524328:EHD524333 EQY524328:EQZ524333 FAU524328:FAV524333 FKQ524328:FKR524333 FUM524328:FUN524333 GEI524328:GEJ524333 GOE524328:GOF524333 GYA524328:GYB524333 HHW524328:HHX524333 HRS524328:HRT524333 IBO524328:IBP524333 ILK524328:ILL524333 IVG524328:IVH524333 JFC524328:JFD524333 JOY524328:JOZ524333 JYU524328:JYV524333 KIQ524328:KIR524333 KSM524328:KSN524333 LCI524328:LCJ524333 LME524328:LMF524333 LWA524328:LWB524333 MFW524328:MFX524333 MPS524328:MPT524333 MZO524328:MZP524333 NJK524328:NJL524333 NTG524328:NTH524333 ODC524328:ODD524333 OMY524328:OMZ524333 OWU524328:OWV524333 PGQ524328:PGR524333 PQM524328:PQN524333 QAI524328:QAJ524333 QKE524328:QKF524333 QUA524328:QUB524333 RDW524328:RDX524333 RNS524328:RNT524333 RXO524328:RXP524333 SHK524328:SHL524333 SRG524328:SRH524333 TBC524328:TBD524333 TKY524328:TKZ524333 TUU524328:TUV524333 UEQ524328:UER524333 UOM524328:UON524333 UYI524328:UYJ524333 VIE524328:VIF524333 VSA524328:VSB524333 WBW524328:WBX524333 WLS524328:WLT524333 WVO524328:WVP524333 G589864:H589869 JC589864:JD589869 SY589864:SZ589869 ACU589864:ACV589869 AMQ589864:AMR589869 AWM589864:AWN589869 BGI589864:BGJ589869 BQE589864:BQF589869 CAA589864:CAB589869 CJW589864:CJX589869 CTS589864:CTT589869 DDO589864:DDP589869 DNK589864:DNL589869 DXG589864:DXH589869 EHC589864:EHD589869 EQY589864:EQZ589869 FAU589864:FAV589869 FKQ589864:FKR589869 FUM589864:FUN589869 GEI589864:GEJ589869 GOE589864:GOF589869 GYA589864:GYB589869 HHW589864:HHX589869 HRS589864:HRT589869 IBO589864:IBP589869 ILK589864:ILL589869 IVG589864:IVH589869 JFC589864:JFD589869 JOY589864:JOZ589869 JYU589864:JYV589869 KIQ589864:KIR589869 KSM589864:KSN589869 LCI589864:LCJ589869 LME589864:LMF589869 LWA589864:LWB589869 MFW589864:MFX589869 MPS589864:MPT589869 MZO589864:MZP589869 NJK589864:NJL589869 NTG589864:NTH589869 ODC589864:ODD589869 OMY589864:OMZ589869 OWU589864:OWV589869 PGQ589864:PGR589869 PQM589864:PQN589869 QAI589864:QAJ589869 QKE589864:QKF589869 QUA589864:QUB589869 RDW589864:RDX589869 RNS589864:RNT589869 RXO589864:RXP589869 SHK589864:SHL589869 SRG589864:SRH589869 TBC589864:TBD589869 TKY589864:TKZ589869 TUU589864:TUV589869 UEQ589864:UER589869 UOM589864:UON589869 UYI589864:UYJ589869 VIE589864:VIF589869 VSA589864:VSB589869 WBW589864:WBX589869 WLS589864:WLT589869 WVO589864:WVP589869 G655400:H655405 JC655400:JD655405 SY655400:SZ655405 ACU655400:ACV655405 AMQ655400:AMR655405 AWM655400:AWN655405 BGI655400:BGJ655405 BQE655400:BQF655405 CAA655400:CAB655405 CJW655400:CJX655405 CTS655400:CTT655405 DDO655400:DDP655405 DNK655400:DNL655405 DXG655400:DXH655405 EHC655400:EHD655405 EQY655400:EQZ655405 FAU655400:FAV655405 FKQ655400:FKR655405 FUM655400:FUN655405 GEI655400:GEJ655405 GOE655400:GOF655405 GYA655400:GYB655405 HHW655400:HHX655405 HRS655400:HRT655405 IBO655400:IBP655405 ILK655400:ILL655405 IVG655400:IVH655405 JFC655400:JFD655405 JOY655400:JOZ655405 JYU655400:JYV655405 KIQ655400:KIR655405 KSM655400:KSN655405 LCI655400:LCJ655405 LME655400:LMF655405 LWA655400:LWB655405 MFW655400:MFX655405 MPS655400:MPT655405 MZO655400:MZP655405 NJK655400:NJL655405 NTG655400:NTH655405 ODC655400:ODD655405 OMY655400:OMZ655405 OWU655400:OWV655405 PGQ655400:PGR655405 PQM655400:PQN655405 QAI655400:QAJ655405 QKE655400:QKF655405 QUA655400:QUB655405 RDW655400:RDX655405 RNS655400:RNT655405 RXO655400:RXP655405 SHK655400:SHL655405 SRG655400:SRH655405 TBC655400:TBD655405 TKY655400:TKZ655405 TUU655400:TUV655405 UEQ655400:UER655405 UOM655400:UON655405 UYI655400:UYJ655405 VIE655400:VIF655405 VSA655400:VSB655405 WBW655400:WBX655405 WLS655400:WLT655405 WVO655400:WVP655405 G720936:H720941 JC720936:JD720941 SY720936:SZ720941 ACU720936:ACV720941 AMQ720936:AMR720941 AWM720936:AWN720941 BGI720936:BGJ720941 BQE720936:BQF720941 CAA720936:CAB720941 CJW720936:CJX720941 CTS720936:CTT720941 DDO720936:DDP720941 DNK720936:DNL720941 DXG720936:DXH720941 EHC720936:EHD720941 EQY720936:EQZ720941 FAU720936:FAV720941 FKQ720936:FKR720941 FUM720936:FUN720941 GEI720936:GEJ720941 GOE720936:GOF720941 GYA720936:GYB720941 HHW720936:HHX720941 HRS720936:HRT720941 IBO720936:IBP720941 ILK720936:ILL720941 IVG720936:IVH720941 JFC720936:JFD720941 JOY720936:JOZ720941 JYU720936:JYV720941 KIQ720936:KIR720941 KSM720936:KSN720941 LCI720936:LCJ720941 LME720936:LMF720941 LWA720936:LWB720941 MFW720936:MFX720941 MPS720936:MPT720941 MZO720936:MZP720941 NJK720936:NJL720941 NTG720936:NTH720941 ODC720936:ODD720941 OMY720936:OMZ720941 OWU720936:OWV720941 PGQ720936:PGR720941 PQM720936:PQN720941 QAI720936:QAJ720941 QKE720936:QKF720941 QUA720936:QUB720941 RDW720936:RDX720941 RNS720936:RNT720941 RXO720936:RXP720941 SHK720936:SHL720941 SRG720936:SRH720941 TBC720936:TBD720941 TKY720936:TKZ720941 TUU720936:TUV720941 UEQ720936:UER720941 UOM720936:UON720941 UYI720936:UYJ720941 VIE720936:VIF720941 VSA720936:VSB720941 WBW720936:WBX720941 WLS720936:WLT720941 WVO720936:WVP720941 G786472:H786477 JC786472:JD786477 SY786472:SZ786477 ACU786472:ACV786477 AMQ786472:AMR786477 AWM786472:AWN786477 BGI786472:BGJ786477 BQE786472:BQF786477 CAA786472:CAB786477 CJW786472:CJX786477 CTS786472:CTT786477 DDO786472:DDP786477 DNK786472:DNL786477 DXG786472:DXH786477 EHC786472:EHD786477 EQY786472:EQZ786477 FAU786472:FAV786477 FKQ786472:FKR786477 FUM786472:FUN786477 GEI786472:GEJ786477 GOE786472:GOF786477 GYA786472:GYB786477 HHW786472:HHX786477 HRS786472:HRT786477 IBO786472:IBP786477 ILK786472:ILL786477 IVG786472:IVH786477 JFC786472:JFD786477 JOY786472:JOZ786477 JYU786472:JYV786477 KIQ786472:KIR786477 KSM786472:KSN786477 LCI786472:LCJ786477 LME786472:LMF786477 LWA786472:LWB786477 MFW786472:MFX786477 MPS786472:MPT786477 MZO786472:MZP786477 NJK786472:NJL786477 NTG786472:NTH786477 ODC786472:ODD786477 OMY786472:OMZ786477 OWU786472:OWV786477 PGQ786472:PGR786477 PQM786472:PQN786477 QAI786472:QAJ786477 QKE786472:QKF786477 QUA786472:QUB786477 RDW786472:RDX786477 RNS786472:RNT786477 RXO786472:RXP786477 SHK786472:SHL786477 SRG786472:SRH786477 TBC786472:TBD786477 TKY786472:TKZ786477 TUU786472:TUV786477 UEQ786472:UER786477 UOM786472:UON786477 UYI786472:UYJ786477 VIE786472:VIF786477 VSA786472:VSB786477 WBW786472:WBX786477 WLS786472:WLT786477 WVO786472:WVP786477 G852008:H852013 JC852008:JD852013 SY852008:SZ852013 ACU852008:ACV852013 AMQ852008:AMR852013 AWM852008:AWN852013 BGI852008:BGJ852013 BQE852008:BQF852013 CAA852008:CAB852013 CJW852008:CJX852013 CTS852008:CTT852013 DDO852008:DDP852013 DNK852008:DNL852013 DXG852008:DXH852013 EHC852008:EHD852013 EQY852008:EQZ852013 FAU852008:FAV852013 FKQ852008:FKR852013 FUM852008:FUN852013 GEI852008:GEJ852013 GOE852008:GOF852013 GYA852008:GYB852013 HHW852008:HHX852013 HRS852008:HRT852013 IBO852008:IBP852013 ILK852008:ILL852013 IVG852008:IVH852013 JFC852008:JFD852013 JOY852008:JOZ852013 JYU852008:JYV852013 KIQ852008:KIR852013 KSM852008:KSN852013 LCI852008:LCJ852013 LME852008:LMF852013 LWA852008:LWB852013 MFW852008:MFX852013 MPS852008:MPT852013 MZO852008:MZP852013 NJK852008:NJL852013 NTG852008:NTH852013 ODC852008:ODD852013 OMY852008:OMZ852013 OWU852008:OWV852013 PGQ852008:PGR852013 PQM852008:PQN852013 QAI852008:QAJ852013 QKE852008:QKF852013 QUA852008:QUB852013 RDW852008:RDX852013 RNS852008:RNT852013 RXO852008:RXP852013 SHK852008:SHL852013 SRG852008:SRH852013 TBC852008:TBD852013 TKY852008:TKZ852013 TUU852008:TUV852013 UEQ852008:UER852013 UOM852008:UON852013 UYI852008:UYJ852013 VIE852008:VIF852013 VSA852008:VSB852013 WBW852008:WBX852013 WLS852008:WLT852013 WVO852008:WVP852013 G917544:H917549 JC917544:JD917549 SY917544:SZ917549 ACU917544:ACV917549 AMQ917544:AMR917549 AWM917544:AWN917549 BGI917544:BGJ917549 BQE917544:BQF917549 CAA917544:CAB917549 CJW917544:CJX917549 CTS917544:CTT917549 DDO917544:DDP917549 DNK917544:DNL917549 DXG917544:DXH917549 EHC917544:EHD917549 EQY917544:EQZ917549 FAU917544:FAV917549 FKQ917544:FKR917549 FUM917544:FUN917549 GEI917544:GEJ917549 GOE917544:GOF917549 GYA917544:GYB917549 HHW917544:HHX917549 HRS917544:HRT917549 IBO917544:IBP917549 ILK917544:ILL917549 IVG917544:IVH917549 JFC917544:JFD917549 JOY917544:JOZ917549 JYU917544:JYV917549 KIQ917544:KIR917549 KSM917544:KSN917549 LCI917544:LCJ917549 LME917544:LMF917549 LWA917544:LWB917549 MFW917544:MFX917549 MPS917544:MPT917549 MZO917544:MZP917549 NJK917544:NJL917549 NTG917544:NTH917549 ODC917544:ODD917549 OMY917544:OMZ917549 OWU917544:OWV917549 PGQ917544:PGR917549 PQM917544:PQN917549 QAI917544:QAJ917549 QKE917544:QKF917549 QUA917544:QUB917549 RDW917544:RDX917549 RNS917544:RNT917549 RXO917544:RXP917549 SHK917544:SHL917549 SRG917544:SRH917549 TBC917544:TBD917549 TKY917544:TKZ917549 TUU917544:TUV917549 UEQ917544:UER917549 UOM917544:UON917549 UYI917544:UYJ917549 VIE917544:VIF917549 VSA917544:VSB917549 WBW917544:WBX917549 WLS917544:WLT917549 WVO917544:WVP917549 G983080:H983085 JC983080:JD983085 SY983080:SZ983085 ACU983080:ACV983085 AMQ983080:AMR983085 AWM983080:AWN983085 BGI983080:BGJ983085 BQE983080:BQF983085 CAA983080:CAB983085 CJW983080:CJX983085 CTS983080:CTT983085 DDO983080:DDP983085 DNK983080:DNL983085 DXG983080:DXH983085 EHC983080:EHD983085 EQY983080:EQZ983085 FAU983080:FAV983085 FKQ983080:FKR983085 FUM983080:FUN983085 GEI983080:GEJ983085 GOE983080:GOF983085 GYA983080:GYB983085 HHW983080:HHX983085 HRS983080:HRT983085 IBO983080:IBP983085 ILK983080:ILL983085 IVG983080:IVH983085 JFC983080:JFD983085 JOY983080:JOZ983085 JYU983080:JYV983085 KIQ983080:KIR983085 KSM983080:KSN983085 LCI983080:LCJ983085 LME983080:LMF983085 LWA983080:LWB983085 MFW983080:MFX983085 MPS983080:MPT983085 MZO983080:MZP983085 NJK983080:NJL983085 NTG983080:NTH983085 ODC983080:ODD983085 OMY983080:OMZ983085 OWU983080:OWV983085 PGQ983080:PGR983085 PQM983080:PQN983085 QAI983080:QAJ983085 QKE983080:QKF983085 QUA983080:QUB983085 RDW983080:RDX983085 RNS983080:RNT983085 RXO983080:RXP983085 SHK983080:SHL983085 SRG983080:SRH983085 TBC983080:TBD983085 TKY983080:TKZ983085 TUU983080:TUV983085 UEQ983080:UER983085 UOM983080:UON983085 UYI983080:UYJ983085 VIE983080:VIF983085 VSA983080:VSB983085 WBW983080:WBX983085 WLS983080:WLT983085 WVO983080:WVP983085 G48:H53 JC48:JD53 SY48:SZ53 ACU48:ACV53 AMQ48:AMR53 AWM48:AWN53 BGI48:BGJ53 BQE48:BQF53 CAA48:CAB53 CJW48:CJX53 CTS48:CTT53 DDO48:DDP53 DNK48:DNL53 DXG48:DXH53 EHC48:EHD53 EQY48:EQZ53 FAU48:FAV53 FKQ48:FKR53 FUM48:FUN53 GEI48:GEJ53 GOE48:GOF53 GYA48:GYB53 HHW48:HHX53 HRS48:HRT53 IBO48:IBP53 ILK48:ILL53 IVG48:IVH53 JFC48:JFD53 JOY48:JOZ53 JYU48:JYV53 KIQ48:KIR53 KSM48:KSN53 LCI48:LCJ53 LME48:LMF53 LWA48:LWB53 MFW48:MFX53 MPS48:MPT53 MZO48:MZP53 NJK48:NJL53 NTG48:NTH53 ODC48:ODD53 OMY48:OMZ53 OWU48:OWV53 PGQ48:PGR53 PQM48:PQN53 QAI48:QAJ53 QKE48:QKF53 QUA48:QUB53 RDW48:RDX53 RNS48:RNT53 RXO48:RXP53 SHK48:SHL53 SRG48:SRH53 TBC48:TBD53 TKY48:TKZ53 TUU48:TUV53 UEQ48:UER53 UOM48:UON53 UYI48:UYJ53 VIE48:VIF53 VSA48:VSB53 WBW48:WBX53 WLS48:WLT53 WVO48:WVP53 G65584:H65589 JC65584:JD65589 SY65584:SZ65589 ACU65584:ACV65589 AMQ65584:AMR65589 AWM65584:AWN65589 BGI65584:BGJ65589 BQE65584:BQF65589 CAA65584:CAB65589 CJW65584:CJX65589 CTS65584:CTT65589 DDO65584:DDP65589 DNK65584:DNL65589 DXG65584:DXH65589 EHC65584:EHD65589 EQY65584:EQZ65589 FAU65584:FAV65589 FKQ65584:FKR65589 FUM65584:FUN65589 GEI65584:GEJ65589 GOE65584:GOF65589 GYA65584:GYB65589 HHW65584:HHX65589 HRS65584:HRT65589 IBO65584:IBP65589 ILK65584:ILL65589 IVG65584:IVH65589 JFC65584:JFD65589 JOY65584:JOZ65589 JYU65584:JYV65589 KIQ65584:KIR65589 KSM65584:KSN65589 LCI65584:LCJ65589 LME65584:LMF65589 LWA65584:LWB65589 MFW65584:MFX65589 MPS65584:MPT65589 MZO65584:MZP65589 NJK65584:NJL65589 NTG65584:NTH65589 ODC65584:ODD65589 OMY65584:OMZ65589 OWU65584:OWV65589 PGQ65584:PGR65589 PQM65584:PQN65589 QAI65584:QAJ65589 QKE65584:QKF65589 QUA65584:QUB65589 RDW65584:RDX65589 RNS65584:RNT65589 RXO65584:RXP65589 SHK65584:SHL65589 SRG65584:SRH65589 TBC65584:TBD65589 TKY65584:TKZ65589 TUU65584:TUV65589 UEQ65584:UER65589 UOM65584:UON65589 UYI65584:UYJ65589 VIE65584:VIF65589 VSA65584:VSB65589 WBW65584:WBX65589 WLS65584:WLT65589 WVO65584:WVP65589 G131120:H131125 JC131120:JD131125 SY131120:SZ131125 ACU131120:ACV131125 AMQ131120:AMR131125 AWM131120:AWN131125 BGI131120:BGJ131125 BQE131120:BQF131125 CAA131120:CAB131125 CJW131120:CJX131125 CTS131120:CTT131125 DDO131120:DDP131125 DNK131120:DNL131125 DXG131120:DXH131125 EHC131120:EHD131125 EQY131120:EQZ131125 FAU131120:FAV131125 FKQ131120:FKR131125 FUM131120:FUN131125 GEI131120:GEJ131125 GOE131120:GOF131125 GYA131120:GYB131125 HHW131120:HHX131125 HRS131120:HRT131125 IBO131120:IBP131125 ILK131120:ILL131125 IVG131120:IVH131125 JFC131120:JFD131125 JOY131120:JOZ131125 JYU131120:JYV131125 KIQ131120:KIR131125 KSM131120:KSN131125 LCI131120:LCJ131125 LME131120:LMF131125 LWA131120:LWB131125 MFW131120:MFX131125 MPS131120:MPT131125 MZO131120:MZP131125 NJK131120:NJL131125 NTG131120:NTH131125 ODC131120:ODD131125 OMY131120:OMZ131125 OWU131120:OWV131125 PGQ131120:PGR131125 PQM131120:PQN131125 QAI131120:QAJ131125 QKE131120:QKF131125 QUA131120:QUB131125 RDW131120:RDX131125 RNS131120:RNT131125 RXO131120:RXP131125 SHK131120:SHL131125 SRG131120:SRH131125 TBC131120:TBD131125 TKY131120:TKZ131125 TUU131120:TUV131125 UEQ131120:UER131125 UOM131120:UON131125 UYI131120:UYJ131125 VIE131120:VIF131125 VSA131120:VSB131125 WBW131120:WBX131125 WLS131120:WLT131125 WVO131120:WVP131125 G196656:H196661 JC196656:JD196661 SY196656:SZ196661 ACU196656:ACV196661 AMQ196656:AMR196661 AWM196656:AWN196661 BGI196656:BGJ196661 BQE196656:BQF196661 CAA196656:CAB196661 CJW196656:CJX196661 CTS196656:CTT196661 DDO196656:DDP196661 DNK196656:DNL196661 DXG196656:DXH196661 EHC196656:EHD196661 EQY196656:EQZ196661 FAU196656:FAV196661 FKQ196656:FKR196661 FUM196656:FUN196661 GEI196656:GEJ196661 GOE196656:GOF196661 GYA196656:GYB196661 HHW196656:HHX196661 HRS196656:HRT196661 IBO196656:IBP196661 ILK196656:ILL196661 IVG196656:IVH196661 JFC196656:JFD196661 JOY196656:JOZ196661 JYU196656:JYV196661 KIQ196656:KIR196661 KSM196656:KSN196661 LCI196656:LCJ196661 LME196656:LMF196661 LWA196656:LWB196661 MFW196656:MFX196661 MPS196656:MPT196661 MZO196656:MZP196661 NJK196656:NJL196661 NTG196656:NTH196661 ODC196656:ODD196661 OMY196656:OMZ196661 OWU196656:OWV196661 PGQ196656:PGR196661 PQM196656:PQN196661 QAI196656:QAJ196661 QKE196656:QKF196661 QUA196656:QUB196661 RDW196656:RDX196661 RNS196656:RNT196661 RXO196656:RXP196661 SHK196656:SHL196661 SRG196656:SRH196661 TBC196656:TBD196661 TKY196656:TKZ196661 TUU196656:TUV196661 UEQ196656:UER196661 UOM196656:UON196661 UYI196656:UYJ196661 VIE196656:VIF196661 VSA196656:VSB196661 WBW196656:WBX196661 WLS196656:WLT196661 WVO196656:WVP196661 G262192:H262197 JC262192:JD262197 SY262192:SZ262197 ACU262192:ACV262197 AMQ262192:AMR262197 AWM262192:AWN262197 BGI262192:BGJ262197 BQE262192:BQF262197 CAA262192:CAB262197 CJW262192:CJX262197 CTS262192:CTT262197 DDO262192:DDP262197 DNK262192:DNL262197 DXG262192:DXH262197 EHC262192:EHD262197 EQY262192:EQZ262197 FAU262192:FAV262197 FKQ262192:FKR262197 FUM262192:FUN262197 GEI262192:GEJ262197 GOE262192:GOF262197 GYA262192:GYB262197 HHW262192:HHX262197 HRS262192:HRT262197 IBO262192:IBP262197 ILK262192:ILL262197 IVG262192:IVH262197 JFC262192:JFD262197 JOY262192:JOZ262197 JYU262192:JYV262197 KIQ262192:KIR262197 KSM262192:KSN262197 LCI262192:LCJ262197 LME262192:LMF262197 LWA262192:LWB262197 MFW262192:MFX262197 MPS262192:MPT262197 MZO262192:MZP262197 NJK262192:NJL262197 NTG262192:NTH262197 ODC262192:ODD262197 OMY262192:OMZ262197 OWU262192:OWV262197 PGQ262192:PGR262197 PQM262192:PQN262197 QAI262192:QAJ262197 QKE262192:QKF262197 QUA262192:QUB262197 RDW262192:RDX262197 RNS262192:RNT262197 RXO262192:RXP262197 SHK262192:SHL262197 SRG262192:SRH262197 TBC262192:TBD262197 TKY262192:TKZ262197 TUU262192:TUV262197 UEQ262192:UER262197 UOM262192:UON262197 UYI262192:UYJ262197 VIE262192:VIF262197 VSA262192:VSB262197 WBW262192:WBX262197 WLS262192:WLT262197 WVO262192:WVP262197 G327728:H327733 JC327728:JD327733 SY327728:SZ327733 ACU327728:ACV327733 AMQ327728:AMR327733 AWM327728:AWN327733 BGI327728:BGJ327733 BQE327728:BQF327733 CAA327728:CAB327733 CJW327728:CJX327733 CTS327728:CTT327733 DDO327728:DDP327733 DNK327728:DNL327733 DXG327728:DXH327733 EHC327728:EHD327733 EQY327728:EQZ327733 FAU327728:FAV327733 FKQ327728:FKR327733 FUM327728:FUN327733 GEI327728:GEJ327733 GOE327728:GOF327733 GYA327728:GYB327733 HHW327728:HHX327733 HRS327728:HRT327733 IBO327728:IBP327733 ILK327728:ILL327733 IVG327728:IVH327733 JFC327728:JFD327733 JOY327728:JOZ327733 JYU327728:JYV327733 KIQ327728:KIR327733 KSM327728:KSN327733 LCI327728:LCJ327733 LME327728:LMF327733 LWA327728:LWB327733 MFW327728:MFX327733 MPS327728:MPT327733 MZO327728:MZP327733 NJK327728:NJL327733 NTG327728:NTH327733 ODC327728:ODD327733 OMY327728:OMZ327733 OWU327728:OWV327733 PGQ327728:PGR327733 PQM327728:PQN327733 QAI327728:QAJ327733 QKE327728:QKF327733 QUA327728:QUB327733 RDW327728:RDX327733 RNS327728:RNT327733 RXO327728:RXP327733 SHK327728:SHL327733 SRG327728:SRH327733 TBC327728:TBD327733 TKY327728:TKZ327733 TUU327728:TUV327733 UEQ327728:UER327733 UOM327728:UON327733 UYI327728:UYJ327733 VIE327728:VIF327733 VSA327728:VSB327733 WBW327728:WBX327733 WLS327728:WLT327733 WVO327728:WVP327733 G393264:H393269 JC393264:JD393269 SY393264:SZ393269 ACU393264:ACV393269 AMQ393264:AMR393269 AWM393264:AWN393269 BGI393264:BGJ393269 BQE393264:BQF393269 CAA393264:CAB393269 CJW393264:CJX393269 CTS393264:CTT393269 DDO393264:DDP393269 DNK393264:DNL393269 DXG393264:DXH393269 EHC393264:EHD393269 EQY393264:EQZ393269 FAU393264:FAV393269 FKQ393264:FKR393269 FUM393264:FUN393269 GEI393264:GEJ393269 GOE393264:GOF393269 GYA393264:GYB393269 HHW393264:HHX393269 HRS393264:HRT393269 IBO393264:IBP393269 ILK393264:ILL393269 IVG393264:IVH393269 JFC393264:JFD393269 JOY393264:JOZ393269 JYU393264:JYV393269 KIQ393264:KIR393269 KSM393264:KSN393269 LCI393264:LCJ393269 LME393264:LMF393269 LWA393264:LWB393269 MFW393264:MFX393269 MPS393264:MPT393269 MZO393264:MZP393269 NJK393264:NJL393269 NTG393264:NTH393269 ODC393264:ODD393269 OMY393264:OMZ393269 OWU393264:OWV393269 PGQ393264:PGR393269 PQM393264:PQN393269 QAI393264:QAJ393269 QKE393264:QKF393269 QUA393264:QUB393269 RDW393264:RDX393269 RNS393264:RNT393269 RXO393264:RXP393269 SHK393264:SHL393269 SRG393264:SRH393269 TBC393264:TBD393269 TKY393264:TKZ393269 TUU393264:TUV393269 UEQ393264:UER393269 UOM393264:UON393269 UYI393264:UYJ393269 VIE393264:VIF393269 VSA393264:VSB393269 WBW393264:WBX393269 WLS393264:WLT393269 WVO393264:WVP393269 G458800:H458805 JC458800:JD458805 SY458800:SZ458805 ACU458800:ACV458805 AMQ458800:AMR458805 AWM458800:AWN458805 BGI458800:BGJ458805 BQE458800:BQF458805 CAA458800:CAB458805 CJW458800:CJX458805 CTS458800:CTT458805 DDO458800:DDP458805 DNK458800:DNL458805 DXG458800:DXH458805 EHC458800:EHD458805 EQY458800:EQZ458805 FAU458800:FAV458805 FKQ458800:FKR458805 FUM458800:FUN458805 GEI458800:GEJ458805 GOE458800:GOF458805 GYA458800:GYB458805 HHW458800:HHX458805 HRS458800:HRT458805 IBO458800:IBP458805 ILK458800:ILL458805 IVG458800:IVH458805 JFC458800:JFD458805 JOY458800:JOZ458805 JYU458800:JYV458805 KIQ458800:KIR458805 KSM458800:KSN458805 LCI458800:LCJ458805 LME458800:LMF458805 LWA458800:LWB458805 MFW458800:MFX458805 MPS458800:MPT458805 MZO458800:MZP458805 NJK458800:NJL458805 NTG458800:NTH458805 ODC458800:ODD458805 OMY458800:OMZ458805 OWU458800:OWV458805 PGQ458800:PGR458805 PQM458800:PQN458805 QAI458800:QAJ458805 QKE458800:QKF458805 QUA458800:QUB458805 RDW458800:RDX458805 RNS458800:RNT458805 RXO458800:RXP458805 SHK458800:SHL458805 SRG458800:SRH458805 TBC458800:TBD458805 TKY458800:TKZ458805 TUU458800:TUV458805 UEQ458800:UER458805 UOM458800:UON458805 UYI458800:UYJ458805 VIE458800:VIF458805 VSA458800:VSB458805 WBW458800:WBX458805 WLS458800:WLT458805 WVO458800:WVP458805 G524336:H524341 JC524336:JD524341 SY524336:SZ524341 ACU524336:ACV524341 AMQ524336:AMR524341 AWM524336:AWN524341 BGI524336:BGJ524341 BQE524336:BQF524341 CAA524336:CAB524341 CJW524336:CJX524341 CTS524336:CTT524341 DDO524336:DDP524341 DNK524336:DNL524341 DXG524336:DXH524341 EHC524336:EHD524341 EQY524336:EQZ524341 FAU524336:FAV524341 FKQ524336:FKR524341 FUM524336:FUN524341 GEI524336:GEJ524341 GOE524336:GOF524341 GYA524336:GYB524341 HHW524336:HHX524341 HRS524336:HRT524341 IBO524336:IBP524341 ILK524336:ILL524341 IVG524336:IVH524341 JFC524336:JFD524341 JOY524336:JOZ524341 JYU524336:JYV524341 KIQ524336:KIR524341 KSM524336:KSN524341 LCI524336:LCJ524341 LME524336:LMF524341 LWA524336:LWB524341 MFW524336:MFX524341 MPS524336:MPT524341 MZO524336:MZP524341 NJK524336:NJL524341 NTG524336:NTH524341 ODC524336:ODD524341 OMY524336:OMZ524341 OWU524336:OWV524341 PGQ524336:PGR524341 PQM524336:PQN524341 QAI524336:QAJ524341 QKE524336:QKF524341 QUA524336:QUB524341 RDW524336:RDX524341 RNS524336:RNT524341 RXO524336:RXP524341 SHK524336:SHL524341 SRG524336:SRH524341 TBC524336:TBD524341 TKY524336:TKZ524341 TUU524336:TUV524341 UEQ524336:UER524341 UOM524336:UON524341 UYI524336:UYJ524341 VIE524336:VIF524341 VSA524336:VSB524341 WBW524336:WBX524341 WLS524336:WLT524341 WVO524336:WVP524341 G589872:H589877 JC589872:JD589877 SY589872:SZ589877 ACU589872:ACV589877 AMQ589872:AMR589877 AWM589872:AWN589877 BGI589872:BGJ589877 BQE589872:BQF589877 CAA589872:CAB589877 CJW589872:CJX589877 CTS589872:CTT589877 DDO589872:DDP589877 DNK589872:DNL589877 DXG589872:DXH589877 EHC589872:EHD589877 EQY589872:EQZ589877 FAU589872:FAV589877 FKQ589872:FKR589877 FUM589872:FUN589877 GEI589872:GEJ589877 GOE589872:GOF589877 GYA589872:GYB589877 HHW589872:HHX589877 HRS589872:HRT589877 IBO589872:IBP589877 ILK589872:ILL589877 IVG589872:IVH589877 JFC589872:JFD589877 JOY589872:JOZ589877 JYU589872:JYV589877 KIQ589872:KIR589877 KSM589872:KSN589877 LCI589872:LCJ589877 LME589872:LMF589877 LWA589872:LWB589877 MFW589872:MFX589877 MPS589872:MPT589877 MZO589872:MZP589877 NJK589872:NJL589877 NTG589872:NTH589877 ODC589872:ODD589877 OMY589872:OMZ589877 OWU589872:OWV589877 PGQ589872:PGR589877 PQM589872:PQN589877 QAI589872:QAJ589877 QKE589872:QKF589877 QUA589872:QUB589877 RDW589872:RDX589877 RNS589872:RNT589877 RXO589872:RXP589877 SHK589872:SHL589877 SRG589872:SRH589877 TBC589872:TBD589877 TKY589872:TKZ589877 TUU589872:TUV589877 UEQ589872:UER589877 UOM589872:UON589877 UYI589872:UYJ589877 VIE589872:VIF589877 VSA589872:VSB589877 WBW589872:WBX589877 WLS589872:WLT589877 WVO589872:WVP589877 G655408:H655413 JC655408:JD655413 SY655408:SZ655413 ACU655408:ACV655413 AMQ655408:AMR655413 AWM655408:AWN655413 BGI655408:BGJ655413 BQE655408:BQF655413 CAA655408:CAB655413 CJW655408:CJX655413 CTS655408:CTT655413 DDO655408:DDP655413 DNK655408:DNL655413 DXG655408:DXH655413 EHC655408:EHD655413 EQY655408:EQZ655413 FAU655408:FAV655413 FKQ655408:FKR655413 FUM655408:FUN655413 GEI655408:GEJ655413 GOE655408:GOF655413 GYA655408:GYB655413 HHW655408:HHX655413 HRS655408:HRT655413 IBO655408:IBP655413 ILK655408:ILL655413 IVG655408:IVH655413 JFC655408:JFD655413 JOY655408:JOZ655413 JYU655408:JYV655413 KIQ655408:KIR655413 KSM655408:KSN655413 LCI655408:LCJ655413 LME655408:LMF655413 LWA655408:LWB655413 MFW655408:MFX655413 MPS655408:MPT655413 MZO655408:MZP655413 NJK655408:NJL655413 NTG655408:NTH655413 ODC655408:ODD655413 OMY655408:OMZ655413 OWU655408:OWV655413 PGQ655408:PGR655413 PQM655408:PQN655413 QAI655408:QAJ655413 QKE655408:QKF655413 QUA655408:QUB655413 RDW655408:RDX655413 RNS655408:RNT655413 RXO655408:RXP655413 SHK655408:SHL655413 SRG655408:SRH655413 TBC655408:TBD655413 TKY655408:TKZ655413 TUU655408:TUV655413 UEQ655408:UER655413 UOM655408:UON655413 UYI655408:UYJ655413 VIE655408:VIF655413 VSA655408:VSB655413 WBW655408:WBX655413 WLS655408:WLT655413 WVO655408:WVP655413 G720944:H720949 JC720944:JD720949 SY720944:SZ720949 ACU720944:ACV720949 AMQ720944:AMR720949 AWM720944:AWN720949 BGI720944:BGJ720949 BQE720944:BQF720949 CAA720944:CAB720949 CJW720944:CJX720949 CTS720944:CTT720949 DDO720944:DDP720949 DNK720944:DNL720949 DXG720944:DXH720949 EHC720944:EHD720949 EQY720944:EQZ720949 FAU720944:FAV720949 FKQ720944:FKR720949 FUM720944:FUN720949 GEI720944:GEJ720949 GOE720944:GOF720949 GYA720944:GYB720949 HHW720944:HHX720949 HRS720944:HRT720949 IBO720944:IBP720949 ILK720944:ILL720949 IVG720944:IVH720949 JFC720944:JFD720949 JOY720944:JOZ720949 JYU720944:JYV720949 KIQ720944:KIR720949 KSM720944:KSN720949 LCI720944:LCJ720949 LME720944:LMF720949 LWA720944:LWB720949 MFW720944:MFX720949 MPS720944:MPT720949 MZO720944:MZP720949 NJK720944:NJL720949 NTG720944:NTH720949 ODC720944:ODD720949 OMY720944:OMZ720949 OWU720944:OWV720949 PGQ720944:PGR720949 PQM720944:PQN720949 QAI720944:QAJ720949 QKE720944:QKF720949 QUA720944:QUB720949 RDW720944:RDX720949 RNS720944:RNT720949 RXO720944:RXP720949 SHK720944:SHL720949 SRG720944:SRH720949 TBC720944:TBD720949 TKY720944:TKZ720949 TUU720944:TUV720949 UEQ720944:UER720949 UOM720944:UON720949 UYI720944:UYJ720949 VIE720944:VIF720949 VSA720944:VSB720949 WBW720944:WBX720949 WLS720944:WLT720949 WVO720944:WVP720949 G786480:H786485 JC786480:JD786485 SY786480:SZ786485 ACU786480:ACV786485 AMQ786480:AMR786485 AWM786480:AWN786485 BGI786480:BGJ786485 BQE786480:BQF786485 CAA786480:CAB786485 CJW786480:CJX786485 CTS786480:CTT786485 DDO786480:DDP786485 DNK786480:DNL786485 DXG786480:DXH786485 EHC786480:EHD786485 EQY786480:EQZ786485 FAU786480:FAV786485 FKQ786480:FKR786485 FUM786480:FUN786485 GEI786480:GEJ786485 GOE786480:GOF786485 GYA786480:GYB786485 HHW786480:HHX786485 HRS786480:HRT786485 IBO786480:IBP786485 ILK786480:ILL786485 IVG786480:IVH786485 JFC786480:JFD786485 JOY786480:JOZ786485 JYU786480:JYV786485 KIQ786480:KIR786485 KSM786480:KSN786485 LCI786480:LCJ786485 LME786480:LMF786485 LWA786480:LWB786485 MFW786480:MFX786485 MPS786480:MPT786485 MZO786480:MZP786485 NJK786480:NJL786485 NTG786480:NTH786485 ODC786480:ODD786485 OMY786480:OMZ786485 OWU786480:OWV786485 PGQ786480:PGR786485 PQM786480:PQN786485 QAI786480:QAJ786485 QKE786480:QKF786485 QUA786480:QUB786485 RDW786480:RDX786485 RNS786480:RNT786485 RXO786480:RXP786485 SHK786480:SHL786485 SRG786480:SRH786485 TBC786480:TBD786485 TKY786480:TKZ786485 TUU786480:TUV786485 UEQ786480:UER786485 UOM786480:UON786485 UYI786480:UYJ786485 VIE786480:VIF786485 VSA786480:VSB786485 WBW786480:WBX786485 WLS786480:WLT786485 WVO786480:WVP786485 G852016:H852021 JC852016:JD852021 SY852016:SZ852021 ACU852016:ACV852021 AMQ852016:AMR852021 AWM852016:AWN852021 BGI852016:BGJ852021 BQE852016:BQF852021 CAA852016:CAB852021 CJW852016:CJX852021 CTS852016:CTT852021 DDO852016:DDP852021 DNK852016:DNL852021 DXG852016:DXH852021 EHC852016:EHD852021 EQY852016:EQZ852021 FAU852016:FAV852021 FKQ852016:FKR852021 FUM852016:FUN852021 GEI852016:GEJ852021 GOE852016:GOF852021 GYA852016:GYB852021 HHW852016:HHX852021 HRS852016:HRT852021 IBO852016:IBP852021 ILK852016:ILL852021 IVG852016:IVH852021 JFC852016:JFD852021 JOY852016:JOZ852021 JYU852016:JYV852021 KIQ852016:KIR852021 KSM852016:KSN852021 LCI852016:LCJ852021 LME852016:LMF852021 LWA852016:LWB852021 MFW852016:MFX852021 MPS852016:MPT852021 MZO852016:MZP852021 NJK852016:NJL852021 NTG852016:NTH852021 ODC852016:ODD852021 OMY852016:OMZ852021 OWU852016:OWV852021 PGQ852016:PGR852021 PQM852016:PQN852021 QAI852016:QAJ852021 QKE852016:QKF852021 QUA852016:QUB852021 RDW852016:RDX852021 RNS852016:RNT852021 RXO852016:RXP852021 SHK852016:SHL852021 SRG852016:SRH852021 TBC852016:TBD852021 TKY852016:TKZ852021 TUU852016:TUV852021 UEQ852016:UER852021 UOM852016:UON852021 UYI852016:UYJ852021 VIE852016:VIF852021 VSA852016:VSB852021 WBW852016:WBX852021 WLS852016:WLT852021 WVO852016:WVP852021 G917552:H917557 JC917552:JD917557 SY917552:SZ917557 ACU917552:ACV917557 AMQ917552:AMR917557 AWM917552:AWN917557 BGI917552:BGJ917557 BQE917552:BQF917557 CAA917552:CAB917557 CJW917552:CJX917557 CTS917552:CTT917557 DDO917552:DDP917557 DNK917552:DNL917557 DXG917552:DXH917557 EHC917552:EHD917557 EQY917552:EQZ917557 FAU917552:FAV917557 FKQ917552:FKR917557 FUM917552:FUN917557 GEI917552:GEJ917557 GOE917552:GOF917557 GYA917552:GYB917557 HHW917552:HHX917557 HRS917552:HRT917557 IBO917552:IBP917557 ILK917552:ILL917557 IVG917552:IVH917557 JFC917552:JFD917557 JOY917552:JOZ917557 JYU917552:JYV917557 KIQ917552:KIR917557 KSM917552:KSN917557 LCI917552:LCJ917557 LME917552:LMF917557 LWA917552:LWB917557 MFW917552:MFX917557 MPS917552:MPT917557 MZO917552:MZP917557 NJK917552:NJL917557 NTG917552:NTH917557 ODC917552:ODD917557 OMY917552:OMZ917557 OWU917552:OWV917557 PGQ917552:PGR917557 PQM917552:PQN917557 QAI917552:QAJ917557 QKE917552:QKF917557 QUA917552:QUB917557 RDW917552:RDX917557 RNS917552:RNT917557 RXO917552:RXP917557 SHK917552:SHL917557 SRG917552:SRH917557 TBC917552:TBD917557 TKY917552:TKZ917557 TUU917552:TUV917557 UEQ917552:UER917557 UOM917552:UON917557 UYI917552:UYJ917557 VIE917552:VIF917557 VSA917552:VSB917557 WBW917552:WBX917557 WLS917552:WLT917557 WVO917552:WVP917557 G983088:H983093 JC983088:JD983093 SY983088:SZ983093 ACU983088:ACV983093 AMQ983088:AMR983093 AWM983088:AWN983093 BGI983088:BGJ983093 BQE983088:BQF983093 CAA983088:CAB983093 CJW983088:CJX983093 CTS983088:CTT983093 DDO983088:DDP983093 DNK983088:DNL983093 DXG983088:DXH983093 EHC983088:EHD983093 EQY983088:EQZ983093 FAU983088:FAV983093 FKQ983088:FKR983093 FUM983088:FUN983093 GEI983088:GEJ983093 GOE983088:GOF983093 GYA983088:GYB983093 HHW983088:HHX983093 HRS983088:HRT983093 IBO983088:IBP983093 ILK983088:ILL983093 IVG983088:IVH983093 JFC983088:JFD983093 JOY983088:JOZ983093 JYU983088:JYV983093 KIQ983088:KIR983093 KSM983088:KSN983093 LCI983088:LCJ983093 LME983088:LMF983093 LWA983088:LWB983093 MFW983088:MFX983093 MPS983088:MPT983093 MZO983088:MZP983093 NJK983088:NJL983093 NTG983088:NTH983093 ODC983088:ODD983093 OMY983088:OMZ983093 OWU983088:OWV983093 PGQ983088:PGR983093 PQM983088:PQN983093 QAI983088:QAJ983093 QKE983088:QKF983093 QUA983088:QUB983093 RDW983088:RDX983093 RNS983088:RNT983093 RXO983088:RXP983093 SHK983088:SHL983093 SRG983088:SRH983093 TBC983088:TBD983093 TKY983088:TKZ983093 TUU983088:TUV983093 UEQ983088:UER983093 UOM983088:UON983093 UYI983088:UYJ983093 VIE983088:VIF983093 VSA983088:VSB983093 WBW983088:WBX983093 WLS983088:WLT983093 WVO983088:WVP983093 G56:H61 JC56:JD61 SY56:SZ61 ACU56:ACV61 AMQ56:AMR61 AWM56:AWN61 BGI56:BGJ61 BQE56:BQF61 CAA56:CAB61 CJW56:CJX61 CTS56:CTT61 DDO56:DDP61 DNK56:DNL61 DXG56:DXH61 EHC56:EHD61 EQY56:EQZ61 FAU56:FAV61 FKQ56:FKR61 FUM56:FUN61 GEI56:GEJ61 GOE56:GOF61 GYA56:GYB61 HHW56:HHX61 HRS56:HRT61 IBO56:IBP61 ILK56:ILL61 IVG56:IVH61 JFC56:JFD61 JOY56:JOZ61 JYU56:JYV61 KIQ56:KIR61 KSM56:KSN61 LCI56:LCJ61 LME56:LMF61 LWA56:LWB61 MFW56:MFX61 MPS56:MPT61 MZO56:MZP61 NJK56:NJL61 NTG56:NTH61 ODC56:ODD61 OMY56:OMZ61 OWU56:OWV61 PGQ56:PGR61 PQM56:PQN61 QAI56:QAJ61 QKE56:QKF61 QUA56:QUB61 RDW56:RDX61 RNS56:RNT61 RXO56:RXP61 SHK56:SHL61 SRG56:SRH61 TBC56:TBD61 TKY56:TKZ61 TUU56:TUV61 UEQ56:UER61 UOM56:UON61 UYI56:UYJ61 VIE56:VIF61 VSA56:VSB61 WBW56:WBX61 WLS56:WLT61 WVO56:WVP61 G65592:H65597 JC65592:JD65597 SY65592:SZ65597 ACU65592:ACV65597 AMQ65592:AMR65597 AWM65592:AWN65597 BGI65592:BGJ65597 BQE65592:BQF65597 CAA65592:CAB65597 CJW65592:CJX65597 CTS65592:CTT65597 DDO65592:DDP65597 DNK65592:DNL65597 DXG65592:DXH65597 EHC65592:EHD65597 EQY65592:EQZ65597 FAU65592:FAV65597 FKQ65592:FKR65597 FUM65592:FUN65597 GEI65592:GEJ65597 GOE65592:GOF65597 GYA65592:GYB65597 HHW65592:HHX65597 HRS65592:HRT65597 IBO65592:IBP65597 ILK65592:ILL65597 IVG65592:IVH65597 JFC65592:JFD65597 JOY65592:JOZ65597 JYU65592:JYV65597 KIQ65592:KIR65597 KSM65592:KSN65597 LCI65592:LCJ65597 LME65592:LMF65597 LWA65592:LWB65597 MFW65592:MFX65597 MPS65592:MPT65597 MZO65592:MZP65597 NJK65592:NJL65597 NTG65592:NTH65597 ODC65592:ODD65597 OMY65592:OMZ65597 OWU65592:OWV65597 PGQ65592:PGR65597 PQM65592:PQN65597 QAI65592:QAJ65597 QKE65592:QKF65597 QUA65592:QUB65597 RDW65592:RDX65597 RNS65592:RNT65597 RXO65592:RXP65597 SHK65592:SHL65597 SRG65592:SRH65597 TBC65592:TBD65597 TKY65592:TKZ65597 TUU65592:TUV65597 UEQ65592:UER65597 UOM65592:UON65597 UYI65592:UYJ65597 VIE65592:VIF65597 VSA65592:VSB65597 WBW65592:WBX65597 WLS65592:WLT65597 WVO65592:WVP65597 G131128:H131133 JC131128:JD131133 SY131128:SZ131133 ACU131128:ACV131133 AMQ131128:AMR131133 AWM131128:AWN131133 BGI131128:BGJ131133 BQE131128:BQF131133 CAA131128:CAB131133 CJW131128:CJX131133 CTS131128:CTT131133 DDO131128:DDP131133 DNK131128:DNL131133 DXG131128:DXH131133 EHC131128:EHD131133 EQY131128:EQZ131133 FAU131128:FAV131133 FKQ131128:FKR131133 FUM131128:FUN131133 GEI131128:GEJ131133 GOE131128:GOF131133 GYA131128:GYB131133 HHW131128:HHX131133 HRS131128:HRT131133 IBO131128:IBP131133 ILK131128:ILL131133 IVG131128:IVH131133 JFC131128:JFD131133 JOY131128:JOZ131133 JYU131128:JYV131133 KIQ131128:KIR131133 KSM131128:KSN131133 LCI131128:LCJ131133 LME131128:LMF131133 LWA131128:LWB131133 MFW131128:MFX131133 MPS131128:MPT131133 MZO131128:MZP131133 NJK131128:NJL131133 NTG131128:NTH131133 ODC131128:ODD131133 OMY131128:OMZ131133 OWU131128:OWV131133 PGQ131128:PGR131133 PQM131128:PQN131133 QAI131128:QAJ131133 QKE131128:QKF131133 QUA131128:QUB131133 RDW131128:RDX131133 RNS131128:RNT131133 RXO131128:RXP131133 SHK131128:SHL131133 SRG131128:SRH131133 TBC131128:TBD131133 TKY131128:TKZ131133 TUU131128:TUV131133 UEQ131128:UER131133 UOM131128:UON131133 UYI131128:UYJ131133 VIE131128:VIF131133 VSA131128:VSB131133 WBW131128:WBX131133 WLS131128:WLT131133 WVO131128:WVP131133 G196664:H196669 JC196664:JD196669 SY196664:SZ196669 ACU196664:ACV196669 AMQ196664:AMR196669 AWM196664:AWN196669 BGI196664:BGJ196669 BQE196664:BQF196669 CAA196664:CAB196669 CJW196664:CJX196669 CTS196664:CTT196669 DDO196664:DDP196669 DNK196664:DNL196669 DXG196664:DXH196669 EHC196664:EHD196669 EQY196664:EQZ196669 FAU196664:FAV196669 FKQ196664:FKR196669 FUM196664:FUN196669 GEI196664:GEJ196669 GOE196664:GOF196669 GYA196664:GYB196669 HHW196664:HHX196669 HRS196664:HRT196669 IBO196664:IBP196669 ILK196664:ILL196669 IVG196664:IVH196669 JFC196664:JFD196669 JOY196664:JOZ196669 JYU196664:JYV196669 KIQ196664:KIR196669 KSM196664:KSN196669 LCI196664:LCJ196669 LME196664:LMF196669 LWA196664:LWB196669 MFW196664:MFX196669 MPS196664:MPT196669 MZO196664:MZP196669 NJK196664:NJL196669 NTG196664:NTH196669 ODC196664:ODD196669 OMY196664:OMZ196669 OWU196664:OWV196669 PGQ196664:PGR196669 PQM196664:PQN196669 QAI196664:QAJ196669 QKE196664:QKF196669 QUA196664:QUB196669 RDW196664:RDX196669 RNS196664:RNT196669 RXO196664:RXP196669 SHK196664:SHL196669 SRG196664:SRH196669 TBC196664:TBD196669 TKY196664:TKZ196669 TUU196664:TUV196669 UEQ196664:UER196669 UOM196664:UON196669 UYI196664:UYJ196669 VIE196664:VIF196669 VSA196664:VSB196669 WBW196664:WBX196669 WLS196664:WLT196669 WVO196664:WVP196669 G262200:H262205 JC262200:JD262205 SY262200:SZ262205 ACU262200:ACV262205 AMQ262200:AMR262205 AWM262200:AWN262205 BGI262200:BGJ262205 BQE262200:BQF262205 CAA262200:CAB262205 CJW262200:CJX262205 CTS262200:CTT262205 DDO262200:DDP262205 DNK262200:DNL262205 DXG262200:DXH262205 EHC262200:EHD262205 EQY262200:EQZ262205 FAU262200:FAV262205 FKQ262200:FKR262205 FUM262200:FUN262205 GEI262200:GEJ262205 GOE262200:GOF262205 GYA262200:GYB262205 HHW262200:HHX262205 HRS262200:HRT262205 IBO262200:IBP262205 ILK262200:ILL262205 IVG262200:IVH262205 JFC262200:JFD262205 JOY262200:JOZ262205 JYU262200:JYV262205 KIQ262200:KIR262205 KSM262200:KSN262205 LCI262200:LCJ262205 LME262200:LMF262205 LWA262200:LWB262205 MFW262200:MFX262205 MPS262200:MPT262205 MZO262200:MZP262205 NJK262200:NJL262205 NTG262200:NTH262205 ODC262200:ODD262205 OMY262200:OMZ262205 OWU262200:OWV262205 PGQ262200:PGR262205 PQM262200:PQN262205 QAI262200:QAJ262205 QKE262200:QKF262205 QUA262200:QUB262205 RDW262200:RDX262205 RNS262200:RNT262205 RXO262200:RXP262205 SHK262200:SHL262205 SRG262200:SRH262205 TBC262200:TBD262205 TKY262200:TKZ262205 TUU262200:TUV262205 UEQ262200:UER262205 UOM262200:UON262205 UYI262200:UYJ262205 VIE262200:VIF262205 VSA262200:VSB262205 WBW262200:WBX262205 WLS262200:WLT262205 WVO262200:WVP262205 G327736:H327741 JC327736:JD327741 SY327736:SZ327741 ACU327736:ACV327741 AMQ327736:AMR327741 AWM327736:AWN327741 BGI327736:BGJ327741 BQE327736:BQF327741 CAA327736:CAB327741 CJW327736:CJX327741 CTS327736:CTT327741 DDO327736:DDP327741 DNK327736:DNL327741 DXG327736:DXH327741 EHC327736:EHD327741 EQY327736:EQZ327741 FAU327736:FAV327741 FKQ327736:FKR327741 FUM327736:FUN327741 GEI327736:GEJ327741 GOE327736:GOF327741 GYA327736:GYB327741 HHW327736:HHX327741 HRS327736:HRT327741 IBO327736:IBP327741 ILK327736:ILL327741 IVG327736:IVH327741 JFC327736:JFD327741 JOY327736:JOZ327741 JYU327736:JYV327741 KIQ327736:KIR327741 KSM327736:KSN327741 LCI327736:LCJ327741 LME327736:LMF327741 LWA327736:LWB327741 MFW327736:MFX327741 MPS327736:MPT327741 MZO327736:MZP327741 NJK327736:NJL327741 NTG327736:NTH327741 ODC327736:ODD327741 OMY327736:OMZ327741 OWU327736:OWV327741 PGQ327736:PGR327741 PQM327736:PQN327741 QAI327736:QAJ327741 QKE327736:QKF327741 QUA327736:QUB327741 RDW327736:RDX327741 RNS327736:RNT327741 RXO327736:RXP327741 SHK327736:SHL327741 SRG327736:SRH327741 TBC327736:TBD327741 TKY327736:TKZ327741 TUU327736:TUV327741 UEQ327736:UER327741 UOM327736:UON327741 UYI327736:UYJ327741 VIE327736:VIF327741 VSA327736:VSB327741 WBW327736:WBX327741 WLS327736:WLT327741 WVO327736:WVP327741 G393272:H393277 JC393272:JD393277 SY393272:SZ393277 ACU393272:ACV393277 AMQ393272:AMR393277 AWM393272:AWN393277 BGI393272:BGJ393277 BQE393272:BQF393277 CAA393272:CAB393277 CJW393272:CJX393277 CTS393272:CTT393277 DDO393272:DDP393277 DNK393272:DNL393277 DXG393272:DXH393277 EHC393272:EHD393277 EQY393272:EQZ393277 FAU393272:FAV393277 FKQ393272:FKR393277 FUM393272:FUN393277 GEI393272:GEJ393277 GOE393272:GOF393277 GYA393272:GYB393277 HHW393272:HHX393277 HRS393272:HRT393277 IBO393272:IBP393277 ILK393272:ILL393277 IVG393272:IVH393277 JFC393272:JFD393277 JOY393272:JOZ393277 JYU393272:JYV393277 KIQ393272:KIR393277 KSM393272:KSN393277 LCI393272:LCJ393277 LME393272:LMF393277 LWA393272:LWB393277 MFW393272:MFX393277 MPS393272:MPT393277 MZO393272:MZP393277 NJK393272:NJL393277 NTG393272:NTH393277 ODC393272:ODD393277 OMY393272:OMZ393277 OWU393272:OWV393277 PGQ393272:PGR393277 PQM393272:PQN393277 QAI393272:QAJ393277 QKE393272:QKF393277 QUA393272:QUB393277 RDW393272:RDX393277 RNS393272:RNT393277 RXO393272:RXP393277 SHK393272:SHL393277 SRG393272:SRH393277 TBC393272:TBD393277 TKY393272:TKZ393277 TUU393272:TUV393277 UEQ393272:UER393277 UOM393272:UON393277 UYI393272:UYJ393277 VIE393272:VIF393277 VSA393272:VSB393277 WBW393272:WBX393277 WLS393272:WLT393277 WVO393272:WVP393277 G458808:H458813 JC458808:JD458813 SY458808:SZ458813 ACU458808:ACV458813 AMQ458808:AMR458813 AWM458808:AWN458813 BGI458808:BGJ458813 BQE458808:BQF458813 CAA458808:CAB458813 CJW458808:CJX458813 CTS458808:CTT458813 DDO458808:DDP458813 DNK458808:DNL458813 DXG458808:DXH458813 EHC458808:EHD458813 EQY458808:EQZ458813 FAU458808:FAV458813 FKQ458808:FKR458813 FUM458808:FUN458813 GEI458808:GEJ458813 GOE458808:GOF458813 GYA458808:GYB458813 HHW458808:HHX458813 HRS458808:HRT458813 IBO458808:IBP458813 ILK458808:ILL458813 IVG458808:IVH458813 JFC458808:JFD458813 JOY458808:JOZ458813 JYU458808:JYV458813 KIQ458808:KIR458813 KSM458808:KSN458813 LCI458808:LCJ458813 LME458808:LMF458813 LWA458808:LWB458813 MFW458808:MFX458813 MPS458808:MPT458813 MZO458808:MZP458813 NJK458808:NJL458813 NTG458808:NTH458813 ODC458808:ODD458813 OMY458808:OMZ458813 OWU458808:OWV458813 PGQ458808:PGR458813 PQM458808:PQN458813 QAI458808:QAJ458813 QKE458808:QKF458813 QUA458808:QUB458813 RDW458808:RDX458813 RNS458808:RNT458813 RXO458808:RXP458813 SHK458808:SHL458813 SRG458808:SRH458813 TBC458808:TBD458813 TKY458808:TKZ458813 TUU458808:TUV458813 UEQ458808:UER458813 UOM458808:UON458813 UYI458808:UYJ458813 VIE458808:VIF458813 VSA458808:VSB458813 WBW458808:WBX458813 WLS458808:WLT458813 WVO458808:WVP458813 G524344:H524349 JC524344:JD524349 SY524344:SZ524349 ACU524344:ACV524349 AMQ524344:AMR524349 AWM524344:AWN524349 BGI524344:BGJ524349 BQE524344:BQF524349 CAA524344:CAB524349 CJW524344:CJX524349 CTS524344:CTT524349 DDO524344:DDP524349 DNK524344:DNL524349 DXG524344:DXH524349 EHC524344:EHD524349 EQY524344:EQZ524349 FAU524344:FAV524349 FKQ524344:FKR524349 FUM524344:FUN524349 GEI524344:GEJ524349 GOE524344:GOF524349 GYA524344:GYB524349 HHW524344:HHX524349 HRS524344:HRT524349 IBO524344:IBP524349 ILK524344:ILL524349 IVG524344:IVH524349 JFC524344:JFD524349 JOY524344:JOZ524349 JYU524344:JYV524349 KIQ524344:KIR524349 KSM524344:KSN524349 LCI524344:LCJ524349 LME524344:LMF524349 LWA524344:LWB524349 MFW524344:MFX524349 MPS524344:MPT524349 MZO524344:MZP524349 NJK524344:NJL524349 NTG524344:NTH524349 ODC524344:ODD524349 OMY524344:OMZ524349 OWU524344:OWV524349 PGQ524344:PGR524349 PQM524344:PQN524349 QAI524344:QAJ524349 QKE524344:QKF524349 QUA524344:QUB524349 RDW524344:RDX524349 RNS524344:RNT524349 RXO524344:RXP524349 SHK524344:SHL524349 SRG524344:SRH524349 TBC524344:TBD524349 TKY524344:TKZ524349 TUU524344:TUV524349 UEQ524344:UER524349 UOM524344:UON524349 UYI524344:UYJ524349 VIE524344:VIF524349 VSA524344:VSB524349 WBW524344:WBX524349 WLS524344:WLT524349 WVO524344:WVP524349 G589880:H589885 JC589880:JD589885 SY589880:SZ589885 ACU589880:ACV589885 AMQ589880:AMR589885 AWM589880:AWN589885 BGI589880:BGJ589885 BQE589880:BQF589885 CAA589880:CAB589885 CJW589880:CJX589885 CTS589880:CTT589885 DDO589880:DDP589885 DNK589880:DNL589885 DXG589880:DXH589885 EHC589880:EHD589885 EQY589880:EQZ589885 FAU589880:FAV589885 FKQ589880:FKR589885 FUM589880:FUN589885 GEI589880:GEJ589885 GOE589880:GOF589885 GYA589880:GYB589885 HHW589880:HHX589885 HRS589880:HRT589885 IBO589880:IBP589885 ILK589880:ILL589885 IVG589880:IVH589885 JFC589880:JFD589885 JOY589880:JOZ589885 JYU589880:JYV589885 KIQ589880:KIR589885 KSM589880:KSN589885 LCI589880:LCJ589885 LME589880:LMF589885 LWA589880:LWB589885 MFW589880:MFX589885 MPS589880:MPT589885 MZO589880:MZP589885 NJK589880:NJL589885 NTG589880:NTH589885 ODC589880:ODD589885 OMY589880:OMZ589885 OWU589880:OWV589885 PGQ589880:PGR589885 PQM589880:PQN589885 QAI589880:QAJ589885 QKE589880:QKF589885 QUA589880:QUB589885 RDW589880:RDX589885 RNS589880:RNT589885 RXO589880:RXP589885 SHK589880:SHL589885 SRG589880:SRH589885 TBC589880:TBD589885 TKY589880:TKZ589885 TUU589880:TUV589885 UEQ589880:UER589885 UOM589880:UON589885 UYI589880:UYJ589885 VIE589880:VIF589885 VSA589880:VSB589885 WBW589880:WBX589885 WLS589880:WLT589885 WVO589880:WVP589885 G655416:H655421 JC655416:JD655421 SY655416:SZ655421 ACU655416:ACV655421 AMQ655416:AMR655421 AWM655416:AWN655421 BGI655416:BGJ655421 BQE655416:BQF655421 CAA655416:CAB655421 CJW655416:CJX655421 CTS655416:CTT655421 DDO655416:DDP655421 DNK655416:DNL655421 DXG655416:DXH655421 EHC655416:EHD655421 EQY655416:EQZ655421 FAU655416:FAV655421 FKQ655416:FKR655421 FUM655416:FUN655421 GEI655416:GEJ655421 GOE655416:GOF655421 GYA655416:GYB655421 HHW655416:HHX655421 HRS655416:HRT655421 IBO655416:IBP655421 ILK655416:ILL655421 IVG655416:IVH655421 JFC655416:JFD655421 JOY655416:JOZ655421 JYU655416:JYV655421 KIQ655416:KIR655421 KSM655416:KSN655421 LCI655416:LCJ655421 LME655416:LMF655421 LWA655416:LWB655421 MFW655416:MFX655421 MPS655416:MPT655421 MZO655416:MZP655421 NJK655416:NJL655421 NTG655416:NTH655421 ODC655416:ODD655421 OMY655416:OMZ655421 OWU655416:OWV655421 PGQ655416:PGR655421 PQM655416:PQN655421 QAI655416:QAJ655421 QKE655416:QKF655421 QUA655416:QUB655421 RDW655416:RDX655421 RNS655416:RNT655421 RXO655416:RXP655421 SHK655416:SHL655421 SRG655416:SRH655421 TBC655416:TBD655421 TKY655416:TKZ655421 TUU655416:TUV655421 UEQ655416:UER655421 UOM655416:UON655421 UYI655416:UYJ655421 VIE655416:VIF655421 VSA655416:VSB655421 WBW655416:WBX655421 WLS655416:WLT655421 WVO655416:WVP655421 G720952:H720957 JC720952:JD720957 SY720952:SZ720957 ACU720952:ACV720957 AMQ720952:AMR720957 AWM720952:AWN720957 BGI720952:BGJ720957 BQE720952:BQF720957 CAA720952:CAB720957 CJW720952:CJX720957 CTS720952:CTT720957 DDO720952:DDP720957 DNK720952:DNL720957 DXG720952:DXH720957 EHC720952:EHD720957 EQY720952:EQZ720957 FAU720952:FAV720957 FKQ720952:FKR720957 FUM720952:FUN720957 GEI720952:GEJ720957 GOE720952:GOF720957 GYA720952:GYB720957 HHW720952:HHX720957 HRS720952:HRT720957 IBO720952:IBP720957 ILK720952:ILL720957 IVG720952:IVH720957 JFC720952:JFD720957 JOY720952:JOZ720957 JYU720952:JYV720957 KIQ720952:KIR720957 KSM720952:KSN720957 LCI720952:LCJ720957 LME720952:LMF720957 LWA720952:LWB720957 MFW720952:MFX720957 MPS720952:MPT720957 MZO720952:MZP720957 NJK720952:NJL720957 NTG720952:NTH720957 ODC720952:ODD720957 OMY720952:OMZ720957 OWU720952:OWV720957 PGQ720952:PGR720957 PQM720952:PQN720957 QAI720952:QAJ720957 QKE720952:QKF720957 QUA720952:QUB720957 RDW720952:RDX720957 RNS720952:RNT720957 RXO720952:RXP720957 SHK720952:SHL720957 SRG720952:SRH720957 TBC720952:TBD720957 TKY720952:TKZ720957 TUU720952:TUV720957 UEQ720952:UER720957 UOM720952:UON720957 UYI720952:UYJ720957 VIE720952:VIF720957 VSA720952:VSB720957 WBW720952:WBX720957 WLS720952:WLT720957 WVO720952:WVP720957 G786488:H786493 JC786488:JD786493 SY786488:SZ786493 ACU786488:ACV786493 AMQ786488:AMR786493 AWM786488:AWN786493 BGI786488:BGJ786493 BQE786488:BQF786493 CAA786488:CAB786493 CJW786488:CJX786493 CTS786488:CTT786493 DDO786488:DDP786493 DNK786488:DNL786493 DXG786488:DXH786493 EHC786488:EHD786493 EQY786488:EQZ786493 FAU786488:FAV786493 FKQ786488:FKR786493 FUM786488:FUN786493 GEI786488:GEJ786493 GOE786488:GOF786493 GYA786488:GYB786493 HHW786488:HHX786493 HRS786488:HRT786493 IBO786488:IBP786493 ILK786488:ILL786493 IVG786488:IVH786493 JFC786488:JFD786493 JOY786488:JOZ786493 JYU786488:JYV786493 KIQ786488:KIR786493 KSM786488:KSN786493 LCI786488:LCJ786493 LME786488:LMF786493 LWA786488:LWB786493 MFW786488:MFX786493 MPS786488:MPT786493 MZO786488:MZP786493 NJK786488:NJL786493 NTG786488:NTH786493 ODC786488:ODD786493 OMY786488:OMZ786493 OWU786488:OWV786493 PGQ786488:PGR786493 PQM786488:PQN786493 QAI786488:QAJ786493 QKE786488:QKF786493 QUA786488:QUB786493 RDW786488:RDX786493 RNS786488:RNT786493 RXO786488:RXP786493 SHK786488:SHL786493 SRG786488:SRH786493 TBC786488:TBD786493 TKY786488:TKZ786493 TUU786488:TUV786493 UEQ786488:UER786493 UOM786488:UON786493 UYI786488:UYJ786493 VIE786488:VIF786493 VSA786488:VSB786493 WBW786488:WBX786493 WLS786488:WLT786493 WVO786488:WVP786493 G852024:H852029 JC852024:JD852029 SY852024:SZ852029 ACU852024:ACV852029 AMQ852024:AMR852029 AWM852024:AWN852029 BGI852024:BGJ852029 BQE852024:BQF852029 CAA852024:CAB852029 CJW852024:CJX852029 CTS852024:CTT852029 DDO852024:DDP852029 DNK852024:DNL852029 DXG852024:DXH852029 EHC852024:EHD852029 EQY852024:EQZ852029 FAU852024:FAV852029 FKQ852024:FKR852029 FUM852024:FUN852029 GEI852024:GEJ852029 GOE852024:GOF852029 GYA852024:GYB852029 HHW852024:HHX852029 HRS852024:HRT852029 IBO852024:IBP852029 ILK852024:ILL852029 IVG852024:IVH852029 JFC852024:JFD852029 JOY852024:JOZ852029 JYU852024:JYV852029 KIQ852024:KIR852029 KSM852024:KSN852029 LCI852024:LCJ852029 LME852024:LMF852029 LWA852024:LWB852029 MFW852024:MFX852029 MPS852024:MPT852029 MZO852024:MZP852029 NJK852024:NJL852029 NTG852024:NTH852029 ODC852024:ODD852029 OMY852024:OMZ852029 OWU852024:OWV852029 PGQ852024:PGR852029 PQM852024:PQN852029 QAI852024:QAJ852029 QKE852024:QKF852029 QUA852024:QUB852029 RDW852024:RDX852029 RNS852024:RNT852029 RXO852024:RXP852029 SHK852024:SHL852029 SRG852024:SRH852029 TBC852024:TBD852029 TKY852024:TKZ852029 TUU852024:TUV852029 UEQ852024:UER852029 UOM852024:UON852029 UYI852024:UYJ852029 VIE852024:VIF852029 VSA852024:VSB852029 WBW852024:WBX852029 WLS852024:WLT852029 WVO852024:WVP852029 G917560:H917565 JC917560:JD917565 SY917560:SZ917565 ACU917560:ACV917565 AMQ917560:AMR917565 AWM917560:AWN917565 BGI917560:BGJ917565 BQE917560:BQF917565 CAA917560:CAB917565 CJW917560:CJX917565 CTS917560:CTT917565 DDO917560:DDP917565 DNK917560:DNL917565 DXG917560:DXH917565 EHC917560:EHD917565 EQY917560:EQZ917565 FAU917560:FAV917565 FKQ917560:FKR917565 FUM917560:FUN917565 GEI917560:GEJ917565 GOE917560:GOF917565 GYA917560:GYB917565 HHW917560:HHX917565 HRS917560:HRT917565 IBO917560:IBP917565 ILK917560:ILL917565 IVG917560:IVH917565 JFC917560:JFD917565 JOY917560:JOZ917565 JYU917560:JYV917565 KIQ917560:KIR917565 KSM917560:KSN917565 LCI917560:LCJ917565 LME917560:LMF917565 LWA917560:LWB917565 MFW917560:MFX917565 MPS917560:MPT917565 MZO917560:MZP917565 NJK917560:NJL917565 NTG917560:NTH917565 ODC917560:ODD917565 OMY917560:OMZ917565 OWU917560:OWV917565 PGQ917560:PGR917565 PQM917560:PQN917565 QAI917560:QAJ917565 QKE917560:QKF917565 QUA917560:QUB917565 RDW917560:RDX917565 RNS917560:RNT917565 RXO917560:RXP917565 SHK917560:SHL917565 SRG917560:SRH917565 TBC917560:TBD917565 TKY917560:TKZ917565 TUU917560:TUV917565 UEQ917560:UER917565 UOM917560:UON917565 UYI917560:UYJ917565 VIE917560:VIF917565 VSA917560:VSB917565 WBW917560:WBX917565 WLS917560:WLT917565 WVO917560:WVP917565 G983096:H983101 JC983096:JD983101 SY983096:SZ983101 ACU983096:ACV983101 AMQ983096:AMR983101 AWM983096:AWN983101 BGI983096:BGJ983101 BQE983096:BQF983101 CAA983096:CAB983101 CJW983096:CJX983101 CTS983096:CTT983101 DDO983096:DDP983101 DNK983096:DNL983101 DXG983096:DXH983101 EHC983096:EHD983101 EQY983096:EQZ983101 FAU983096:FAV983101 FKQ983096:FKR983101 FUM983096:FUN983101 GEI983096:GEJ983101 GOE983096:GOF983101 GYA983096:GYB983101 HHW983096:HHX983101 HRS983096:HRT983101 IBO983096:IBP983101 ILK983096:ILL983101 IVG983096:IVH983101 JFC983096:JFD983101 JOY983096:JOZ983101 JYU983096:JYV983101 KIQ983096:KIR983101 KSM983096:KSN983101 LCI983096:LCJ983101 LME983096:LMF983101 LWA983096:LWB983101 MFW983096:MFX983101 MPS983096:MPT983101 MZO983096:MZP983101 NJK983096:NJL983101 NTG983096:NTH983101 ODC983096:ODD983101 OMY983096:OMZ983101 OWU983096:OWV983101 PGQ983096:PGR983101 PQM983096:PQN983101 QAI983096:QAJ983101 QKE983096:QKF983101 QUA983096:QUB983101 RDW983096:RDX983101 RNS983096:RNT983101 RXO983096:RXP983101 SHK983096:SHL983101 SRG983096:SRH983101 TBC983096:TBD983101 TKY983096:TKZ983101 TUU983096:TUV983101 UEQ983096:UER983101 UOM983096:UON983101 UYI983096:UYJ983101 VIE983096:VIF983101 VSA983096:VSB983101 WBW983096:WBX983101 WLS983096:WLT983101 WVO983096:WVP983101 G64:H69 JC64:JD69 SY64:SZ69 ACU64:ACV69 AMQ64:AMR69 AWM64:AWN69 BGI64:BGJ69 BQE64:BQF69 CAA64:CAB69 CJW64:CJX69 CTS64:CTT69 DDO64:DDP69 DNK64:DNL69 DXG64:DXH69 EHC64:EHD69 EQY64:EQZ69 FAU64:FAV69 FKQ64:FKR69 FUM64:FUN69 GEI64:GEJ69 GOE64:GOF69 GYA64:GYB69 HHW64:HHX69 HRS64:HRT69 IBO64:IBP69 ILK64:ILL69 IVG64:IVH69 JFC64:JFD69 JOY64:JOZ69 JYU64:JYV69 KIQ64:KIR69 KSM64:KSN69 LCI64:LCJ69 LME64:LMF69 LWA64:LWB69 MFW64:MFX69 MPS64:MPT69 MZO64:MZP69 NJK64:NJL69 NTG64:NTH69 ODC64:ODD69 OMY64:OMZ69 OWU64:OWV69 PGQ64:PGR69 PQM64:PQN69 QAI64:QAJ69 QKE64:QKF69 QUA64:QUB69 RDW64:RDX69 RNS64:RNT69 RXO64:RXP69 SHK64:SHL69 SRG64:SRH69 TBC64:TBD69 TKY64:TKZ69 TUU64:TUV69 UEQ64:UER69 UOM64:UON69 UYI64:UYJ69 VIE64:VIF69 VSA64:VSB69 WBW64:WBX69 WLS64:WLT69 WVO64:WVP69 G65600:H65605 JC65600:JD65605 SY65600:SZ65605 ACU65600:ACV65605 AMQ65600:AMR65605 AWM65600:AWN65605 BGI65600:BGJ65605 BQE65600:BQF65605 CAA65600:CAB65605 CJW65600:CJX65605 CTS65600:CTT65605 DDO65600:DDP65605 DNK65600:DNL65605 DXG65600:DXH65605 EHC65600:EHD65605 EQY65600:EQZ65605 FAU65600:FAV65605 FKQ65600:FKR65605 FUM65600:FUN65605 GEI65600:GEJ65605 GOE65600:GOF65605 GYA65600:GYB65605 HHW65600:HHX65605 HRS65600:HRT65605 IBO65600:IBP65605 ILK65600:ILL65605 IVG65600:IVH65605 JFC65600:JFD65605 JOY65600:JOZ65605 JYU65600:JYV65605 KIQ65600:KIR65605 KSM65600:KSN65605 LCI65600:LCJ65605 LME65600:LMF65605 LWA65600:LWB65605 MFW65600:MFX65605 MPS65600:MPT65605 MZO65600:MZP65605 NJK65600:NJL65605 NTG65600:NTH65605 ODC65600:ODD65605 OMY65600:OMZ65605 OWU65600:OWV65605 PGQ65600:PGR65605 PQM65600:PQN65605 QAI65600:QAJ65605 QKE65600:QKF65605 QUA65600:QUB65605 RDW65600:RDX65605 RNS65600:RNT65605 RXO65600:RXP65605 SHK65600:SHL65605 SRG65600:SRH65605 TBC65600:TBD65605 TKY65600:TKZ65605 TUU65600:TUV65605 UEQ65600:UER65605 UOM65600:UON65605 UYI65600:UYJ65605 VIE65600:VIF65605 VSA65600:VSB65605 WBW65600:WBX65605 WLS65600:WLT65605 WVO65600:WVP65605 G131136:H131141 JC131136:JD131141 SY131136:SZ131141 ACU131136:ACV131141 AMQ131136:AMR131141 AWM131136:AWN131141 BGI131136:BGJ131141 BQE131136:BQF131141 CAA131136:CAB131141 CJW131136:CJX131141 CTS131136:CTT131141 DDO131136:DDP131141 DNK131136:DNL131141 DXG131136:DXH131141 EHC131136:EHD131141 EQY131136:EQZ131141 FAU131136:FAV131141 FKQ131136:FKR131141 FUM131136:FUN131141 GEI131136:GEJ131141 GOE131136:GOF131141 GYA131136:GYB131141 HHW131136:HHX131141 HRS131136:HRT131141 IBO131136:IBP131141 ILK131136:ILL131141 IVG131136:IVH131141 JFC131136:JFD131141 JOY131136:JOZ131141 JYU131136:JYV131141 KIQ131136:KIR131141 KSM131136:KSN131141 LCI131136:LCJ131141 LME131136:LMF131141 LWA131136:LWB131141 MFW131136:MFX131141 MPS131136:MPT131141 MZO131136:MZP131141 NJK131136:NJL131141 NTG131136:NTH131141 ODC131136:ODD131141 OMY131136:OMZ131141 OWU131136:OWV131141 PGQ131136:PGR131141 PQM131136:PQN131141 QAI131136:QAJ131141 QKE131136:QKF131141 QUA131136:QUB131141 RDW131136:RDX131141 RNS131136:RNT131141 RXO131136:RXP131141 SHK131136:SHL131141 SRG131136:SRH131141 TBC131136:TBD131141 TKY131136:TKZ131141 TUU131136:TUV131141 UEQ131136:UER131141 UOM131136:UON131141 UYI131136:UYJ131141 VIE131136:VIF131141 VSA131136:VSB131141 WBW131136:WBX131141 WLS131136:WLT131141 WVO131136:WVP131141 G196672:H196677 JC196672:JD196677 SY196672:SZ196677 ACU196672:ACV196677 AMQ196672:AMR196677 AWM196672:AWN196677 BGI196672:BGJ196677 BQE196672:BQF196677 CAA196672:CAB196677 CJW196672:CJX196677 CTS196672:CTT196677 DDO196672:DDP196677 DNK196672:DNL196677 DXG196672:DXH196677 EHC196672:EHD196677 EQY196672:EQZ196677 FAU196672:FAV196677 FKQ196672:FKR196677 FUM196672:FUN196677 GEI196672:GEJ196677 GOE196672:GOF196677 GYA196672:GYB196677 HHW196672:HHX196677 HRS196672:HRT196677 IBO196672:IBP196677 ILK196672:ILL196677 IVG196672:IVH196677 JFC196672:JFD196677 JOY196672:JOZ196677 JYU196672:JYV196677 KIQ196672:KIR196677 KSM196672:KSN196677 LCI196672:LCJ196677 LME196672:LMF196677 LWA196672:LWB196677 MFW196672:MFX196677 MPS196672:MPT196677 MZO196672:MZP196677 NJK196672:NJL196677 NTG196672:NTH196677 ODC196672:ODD196677 OMY196672:OMZ196677 OWU196672:OWV196677 PGQ196672:PGR196677 PQM196672:PQN196677 QAI196672:QAJ196677 QKE196672:QKF196677 QUA196672:QUB196677 RDW196672:RDX196677 RNS196672:RNT196677 RXO196672:RXP196677 SHK196672:SHL196677 SRG196672:SRH196677 TBC196672:TBD196677 TKY196672:TKZ196677 TUU196672:TUV196677 UEQ196672:UER196677 UOM196672:UON196677 UYI196672:UYJ196677 VIE196672:VIF196677 VSA196672:VSB196677 WBW196672:WBX196677 WLS196672:WLT196677 WVO196672:WVP196677 G262208:H262213 JC262208:JD262213 SY262208:SZ262213 ACU262208:ACV262213 AMQ262208:AMR262213 AWM262208:AWN262213 BGI262208:BGJ262213 BQE262208:BQF262213 CAA262208:CAB262213 CJW262208:CJX262213 CTS262208:CTT262213 DDO262208:DDP262213 DNK262208:DNL262213 DXG262208:DXH262213 EHC262208:EHD262213 EQY262208:EQZ262213 FAU262208:FAV262213 FKQ262208:FKR262213 FUM262208:FUN262213 GEI262208:GEJ262213 GOE262208:GOF262213 GYA262208:GYB262213 HHW262208:HHX262213 HRS262208:HRT262213 IBO262208:IBP262213 ILK262208:ILL262213 IVG262208:IVH262213 JFC262208:JFD262213 JOY262208:JOZ262213 JYU262208:JYV262213 KIQ262208:KIR262213 KSM262208:KSN262213 LCI262208:LCJ262213 LME262208:LMF262213 LWA262208:LWB262213 MFW262208:MFX262213 MPS262208:MPT262213 MZO262208:MZP262213 NJK262208:NJL262213 NTG262208:NTH262213 ODC262208:ODD262213 OMY262208:OMZ262213 OWU262208:OWV262213 PGQ262208:PGR262213 PQM262208:PQN262213 QAI262208:QAJ262213 QKE262208:QKF262213 QUA262208:QUB262213 RDW262208:RDX262213 RNS262208:RNT262213 RXO262208:RXP262213 SHK262208:SHL262213 SRG262208:SRH262213 TBC262208:TBD262213 TKY262208:TKZ262213 TUU262208:TUV262213 UEQ262208:UER262213 UOM262208:UON262213 UYI262208:UYJ262213 VIE262208:VIF262213 VSA262208:VSB262213 WBW262208:WBX262213 WLS262208:WLT262213 WVO262208:WVP262213 G327744:H327749 JC327744:JD327749 SY327744:SZ327749 ACU327744:ACV327749 AMQ327744:AMR327749 AWM327744:AWN327749 BGI327744:BGJ327749 BQE327744:BQF327749 CAA327744:CAB327749 CJW327744:CJX327749 CTS327744:CTT327749 DDO327744:DDP327749 DNK327744:DNL327749 DXG327744:DXH327749 EHC327744:EHD327749 EQY327744:EQZ327749 FAU327744:FAV327749 FKQ327744:FKR327749 FUM327744:FUN327749 GEI327744:GEJ327749 GOE327744:GOF327749 GYA327744:GYB327749 HHW327744:HHX327749 HRS327744:HRT327749 IBO327744:IBP327749 ILK327744:ILL327749 IVG327744:IVH327749 JFC327744:JFD327749 JOY327744:JOZ327749 JYU327744:JYV327749 KIQ327744:KIR327749 KSM327744:KSN327749 LCI327744:LCJ327749 LME327744:LMF327749 LWA327744:LWB327749 MFW327744:MFX327749 MPS327744:MPT327749 MZO327744:MZP327749 NJK327744:NJL327749 NTG327744:NTH327749 ODC327744:ODD327749 OMY327744:OMZ327749 OWU327744:OWV327749 PGQ327744:PGR327749 PQM327744:PQN327749 QAI327744:QAJ327749 QKE327744:QKF327749 QUA327744:QUB327749 RDW327744:RDX327749 RNS327744:RNT327749 RXO327744:RXP327749 SHK327744:SHL327749 SRG327744:SRH327749 TBC327744:TBD327749 TKY327744:TKZ327749 TUU327744:TUV327749 UEQ327744:UER327749 UOM327744:UON327749 UYI327744:UYJ327749 VIE327744:VIF327749 VSA327744:VSB327749 WBW327744:WBX327749 WLS327744:WLT327749 WVO327744:WVP327749 G393280:H393285 JC393280:JD393285 SY393280:SZ393285 ACU393280:ACV393285 AMQ393280:AMR393285 AWM393280:AWN393285 BGI393280:BGJ393285 BQE393280:BQF393285 CAA393280:CAB393285 CJW393280:CJX393285 CTS393280:CTT393285 DDO393280:DDP393285 DNK393280:DNL393285 DXG393280:DXH393285 EHC393280:EHD393285 EQY393280:EQZ393285 FAU393280:FAV393285 FKQ393280:FKR393285 FUM393280:FUN393285 GEI393280:GEJ393285 GOE393280:GOF393285 GYA393280:GYB393285 HHW393280:HHX393285 HRS393280:HRT393285 IBO393280:IBP393285 ILK393280:ILL393285 IVG393280:IVH393285 JFC393280:JFD393285 JOY393280:JOZ393285 JYU393280:JYV393285 KIQ393280:KIR393285 KSM393280:KSN393285 LCI393280:LCJ393285 LME393280:LMF393285 LWA393280:LWB393285 MFW393280:MFX393285 MPS393280:MPT393285 MZO393280:MZP393285 NJK393280:NJL393285 NTG393280:NTH393285 ODC393280:ODD393285 OMY393280:OMZ393285 OWU393280:OWV393285 PGQ393280:PGR393285 PQM393280:PQN393285 QAI393280:QAJ393285 QKE393280:QKF393285 QUA393280:QUB393285 RDW393280:RDX393285 RNS393280:RNT393285 RXO393280:RXP393285 SHK393280:SHL393285 SRG393280:SRH393285 TBC393280:TBD393285 TKY393280:TKZ393285 TUU393280:TUV393285 UEQ393280:UER393285 UOM393280:UON393285 UYI393280:UYJ393285 VIE393280:VIF393285 VSA393280:VSB393285 WBW393280:WBX393285 WLS393280:WLT393285 WVO393280:WVP393285 G458816:H458821 JC458816:JD458821 SY458816:SZ458821 ACU458816:ACV458821 AMQ458816:AMR458821 AWM458816:AWN458821 BGI458816:BGJ458821 BQE458816:BQF458821 CAA458816:CAB458821 CJW458816:CJX458821 CTS458816:CTT458821 DDO458816:DDP458821 DNK458816:DNL458821 DXG458816:DXH458821 EHC458816:EHD458821 EQY458816:EQZ458821 FAU458816:FAV458821 FKQ458816:FKR458821 FUM458816:FUN458821 GEI458816:GEJ458821 GOE458816:GOF458821 GYA458816:GYB458821 HHW458816:HHX458821 HRS458816:HRT458821 IBO458816:IBP458821 ILK458816:ILL458821 IVG458816:IVH458821 JFC458816:JFD458821 JOY458816:JOZ458821 JYU458816:JYV458821 KIQ458816:KIR458821 KSM458816:KSN458821 LCI458816:LCJ458821 LME458816:LMF458821 LWA458816:LWB458821 MFW458816:MFX458821 MPS458816:MPT458821 MZO458816:MZP458821 NJK458816:NJL458821 NTG458816:NTH458821 ODC458816:ODD458821 OMY458816:OMZ458821 OWU458816:OWV458821 PGQ458816:PGR458821 PQM458816:PQN458821 QAI458816:QAJ458821 QKE458816:QKF458821 QUA458816:QUB458821 RDW458816:RDX458821 RNS458816:RNT458821 RXO458816:RXP458821 SHK458816:SHL458821 SRG458816:SRH458821 TBC458816:TBD458821 TKY458816:TKZ458821 TUU458816:TUV458821 UEQ458816:UER458821 UOM458816:UON458821 UYI458816:UYJ458821 VIE458816:VIF458821 VSA458816:VSB458821 WBW458816:WBX458821 WLS458816:WLT458821 WVO458816:WVP458821 G524352:H524357 JC524352:JD524357 SY524352:SZ524357 ACU524352:ACV524357 AMQ524352:AMR524357 AWM524352:AWN524357 BGI524352:BGJ524357 BQE524352:BQF524357 CAA524352:CAB524357 CJW524352:CJX524357 CTS524352:CTT524357 DDO524352:DDP524357 DNK524352:DNL524357 DXG524352:DXH524357 EHC524352:EHD524357 EQY524352:EQZ524357 FAU524352:FAV524357 FKQ524352:FKR524357 FUM524352:FUN524357 GEI524352:GEJ524357 GOE524352:GOF524357 GYA524352:GYB524357 HHW524352:HHX524357 HRS524352:HRT524357 IBO524352:IBP524357 ILK524352:ILL524357 IVG524352:IVH524357 JFC524352:JFD524357 JOY524352:JOZ524357 JYU524352:JYV524357 KIQ524352:KIR524357 KSM524352:KSN524357 LCI524352:LCJ524357 LME524352:LMF524357 LWA524352:LWB524357 MFW524352:MFX524357 MPS524352:MPT524357 MZO524352:MZP524357 NJK524352:NJL524357 NTG524352:NTH524357 ODC524352:ODD524357 OMY524352:OMZ524357 OWU524352:OWV524357 PGQ524352:PGR524357 PQM524352:PQN524357 QAI524352:QAJ524357 QKE524352:QKF524357 QUA524352:QUB524357 RDW524352:RDX524357 RNS524352:RNT524357 RXO524352:RXP524357 SHK524352:SHL524357 SRG524352:SRH524357 TBC524352:TBD524357 TKY524352:TKZ524357 TUU524352:TUV524357 UEQ524352:UER524357 UOM524352:UON524357 UYI524352:UYJ524357 VIE524352:VIF524357 VSA524352:VSB524357 WBW524352:WBX524357 WLS524352:WLT524357 WVO524352:WVP524357 G589888:H589893 JC589888:JD589893 SY589888:SZ589893 ACU589888:ACV589893 AMQ589888:AMR589893 AWM589888:AWN589893 BGI589888:BGJ589893 BQE589888:BQF589893 CAA589888:CAB589893 CJW589888:CJX589893 CTS589888:CTT589893 DDO589888:DDP589893 DNK589888:DNL589893 DXG589888:DXH589893 EHC589888:EHD589893 EQY589888:EQZ589893 FAU589888:FAV589893 FKQ589888:FKR589893 FUM589888:FUN589893 GEI589888:GEJ589893 GOE589888:GOF589893 GYA589888:GYB589893 HHW589888:HHX589893 HRS589888:HRT589893 IBO589888:IBP589893 ILK589888:ILL589893 IVG589888:IVH589893 JFC589888:JFD589893 JOY589888:JOZ589893 JYU589888:JYV589893 KIQ589888:KIR589893 KSM589888:KSN589893 LCI589888:LCJ589893 LME589888:LMF589893 LWA589888:LWB589893 MFW589888:MFX589893 MPS589888:MPT589893 MZO589888:MZP589893 NJK589888:NJL589893 NTG589888:NTH589893 ODC589888:ODD589893 OMY589888:OMZ589893 OWU589888:OWV589893 PGQ589888:PGR589893 PQM589888:PQN589893 QAI589888:QAJ589893 QKE589888:QKF589893 QUA589888:QUB589893 RDW589888:RDX589893 RNS589888:RNT589893 RXO589888:RXP589893 SHK589888:SHL589893 SRG589888:SRH589893 TBC589888:TBD589893 TKY589888:TKZ589893 TUU589888:TUV589893 UEQ589888:UER589893 UOM589888:UON589893 UYI589888:UYJ589893 VIE589888:VIF589893 VSA589888:VSB589893 WBW589888:WBX589893 WLS589888:WLT589893 WVO589888:WVP589893 G655424:H655429 JC655424:JD655429 SY655424:SZ655429 ACU655424:ACV655429 AMQ655424:AMR655429 AWM655424:AWN655429 BGI655424:BGJ655429 BQE655424:BQF655429 CAA655424:CAB655429 CJW655424:CJX655429 CTS655424:CTT655429 DDO655424:DDP655429 DNK655424:DNL655429 DXG655424:DXH655429 EHC655424:EHD655429 EQY655424:EQZ655429 FAU655424:FAV655429 FKQ655424:FKR655429 FUM655424:FUN655429 GEI655424:GEJ655429 GOE655424:GOF655429 GYA655424:GYB655429 HHW655424:HHX655429 HRS655424:HRT655429 IBO655424:IBP655429 ILK655424:ILL655429 IVG655424:IVH655429 JFC655424:JFD655429 JOY655424:JOZ655429 JYU655424:JYV655429 KIQ655424:KIR655429 KSM655424:KSN655429 LCI655424:LCJ655429 LME655424:LMF655429 LWA655424:LWB655429 MFW655424:MFX655429 MPS655424:MPT655429 MZO655424:MZP655429 NJK655424:NJL655429 NTG655424:NTH655429 ODC655424:ODD655429 OMY655424:OMZ655429 OWU655424:OWV655429 PGQ655424:PGR655429 PQM655424:PQN655429 QAI655424:QAJ655429 QKE655424:QKF655429 QUA655424:QUB655429 RDW655424:RDX655429 RNS655424:RNT655429 RXO655424:RXP655429 SHK655424:SHL655429 SRG655424:SRH655429 TBC655424:TBD655429 TKY655424:TKZ655429 TUU655424:TUV655429 UEQ655424:UER655429 UOM655424:UON655429 UYI655424:UYJ655429 VIE655424:VIF655429 VSA655424:VSB655429 WBW655424:WBX655429 WLS655424:WLT655429 WVO655424:WVP655429 G720960:H720965 JC720960:JD720965 SY720960:SZ720965 ACU720960:ACV720965 AMQ720960:AMR720965 AWM720960:AWN720965 BGI720960:BGJ720965 BQE720960:BQF720965 CAA720960:CAB720965 CJW720960:CJX720965 CTS720960:CTT720965 DDO720960:DDP720965 DNK720960:DNL720965 DXG720960:DXH720965 EHC720960:EHD720965 EQY720960:EQZ720965 FAU720960:FAV720965 FKQ720960:FKR720965 FUM720960:FUN720965 GEI720960:GEJ720965 GOE720960:GOF720965 GYA720960:GYB720965 HHW720960:HHX720965 HRS720960:HRT720965 IBO720960:IBP720965 ILK720960:ILL720965 IVG720960:IVH720965 JFC720960:JFD720965 JOY720960:JOZ720965 JYU720960:JYV720965 KIQ720960:KIR720965 KSM720960:KSN720965 LCI720960:LCJ720965 LME720960:LMF720965 LWA720960:LWB720965 MFW720960:MFX720965 MPS720960:MPT720965 MZO720960:MZP720965 NJK720960:NJL720965 NTG720960:NTH720965 ODC720960:ODD720965 OMY720960:OMZ720965 OWU720960:OWV720965 PGQ720960:PGR720965 PQM720960:PQN720965 QAI720960:QAJ720965 QKE720960:QKF720965 QUA720960:QUB720965 RDW720960:RDX720965 RNS720960:RNT720965 RXO720960:RXP720965 SHK720960:SHL720965 SRG720960:SRH720965 TBC720960:TBD720965 TKY720960:TKZ720965 TUU720960:TUV720965 UEQ720960:UER720965 UOM720960:UON720965 UYI720960:UYJ720965 VIE720960:VIF720965 VSA720960:VSB720965 WBW720960:WBX720965 WLS720960:WLT720965 WVO720960:WVP720965 G786496:H786501 JC786496:JD786501 SY786496:SZ786501 ACU786496:ACV786501 AMQ786496:AMR786501 AWM786496:AWN786501 BGI786496:BGJ786501 BQE786496:BQF786501 CAA786496:CAB786501 CJW786496:CJX786501 CTS786496:CTT786501 DDO786496:DDP786501 DNK786496:DNL786501 DXG786496:DXH786501 EHC786496:EHD786501 EQY786496:EQZ786501 FAU786496:FAV786501 FKQ786496:FKR786501 FUM786496:FUN786501 GEI786496:GEJ786501 GOE786496:GOF786501 GYA786496:GYB786501 HHW786496:HHX786501 HRS786496:HRT786501 IBO786496:IBP786501 ILK786496:ILL786501 IVG786496:IVH786501 JFC786496:JFD786501 JOY786496:JOZ786501 JYU786496:JYV786501 KIQ786496:KIR786501 KSM786496:KSN786501 LCI786496:LCJ786501 LME786496:LMF786501 LWA786496:LWB786501 MFW786496:MFX786501 MPS786496:MPT786501 MZO786496:MZP786501 NJK786496:NJL786501 NTG786496:NTH786501 ODC786496:ODD786501 OMY786496:OMZ786501 OWU786496:OWV786501 PGQ786496:PGR786501 PQM786496:PQN786501 QAI786496:QAJ786501 QKE786496:QKF786501 QUA786496:QUB786501 RDW786496:RDX786501 RNS786496:RNT786501 RXO786496:RXP786501 SHK786496:SHL786501 SRG786496:SRH786501 TBC786496:TBD786501 TKY786496:TKZ786501 TUU786496:TUV786501 UEQ786496:UER786501 UOM786496:UON786501 UYI786496:UYJ786501 VIE786496:VIF786501 VSA786496:VSB786501 WBW786496:WBX786501 WLS786496:WLT786501 WVO786496:WVP786501 G852032:H852037 JC852032:JD852037 SY852032:SZ852037 ACU852032:ACV852037 AMQ852032:AMR852037 AWM852032:AWN852037 BGI852032:BGJ852037 BQE852032:BQF852037 CAA852032:CAB852037 CJW852032:CJX852037 CTS852032:CTT852037 DDO852032:DDP852037 DNK852032:DNL852037 DXG852032:DXH852037 EHC852032:EHD852037 EQY852032:EQZ852037 FAU852032:FAV852037 FKQ852032:FKR852037 FUM852032:FUN852037 GEI852032:GEJ852037 GOE852032:GOF852037 GYA852032:GYB852037 HHW852032:HHX852037 HRS852032:HRT852037 IBO852032:IBP852037 ILK852032:ILL852037 IVG852032:IVH852037 JFC852032:JFD852037 JOY852032:JOZ852037 JYU852032:JYV852037 KIQ852032:KIR852037 KSM852032:KSN852037 LCI852032:LCJ852037 LME852032:LMF852037 LWA852032:LWB852037 MFW852032:MFX852037 MPS852032:MPT852037 MZO852032:MZP852037 NJK852032:NJL852037 NTG852032:NTH852037 ODC852032:ODD852037 OMY852032:OMZ852037 OWU852032:OWV852037 PGQ852032:PGR852037 PQM852032:PQN852037 QAI852032:QAJ852037 QKE852032:QKF852037 QUA852032:QUB852037 RDW852032:RDX852037 RNS852032:RNT852037 RXO852032:RXP852037 SHK852032:SHL852037 SRG852032:SRH852037 TBC852032:TBD852037 TKY852032:TKZ852037 TUU852032:TUV852037 UEQ852032:UER852037 UOM852032:UON852037 UYI852032:UYJ852037 VIE852032:VIF852037 VSA852032:VSB852037 WBW852032:WBX852037 WLS852032:WLT852037 WVO852032:WVP852037 G917568:H917573 JC917568:JD917573 SY917568:SZ917573 ACU917568:ACV917573 AMQ917568:AMR917573 AWM917568:AWN917573 BGI917568:BGJ917573 BQE917568:BQF917573 CAA917568:CAB917573 CJW917568:CJX917573 CTS917568:CTT917573 DDO917568:DDP917573 DNK917568:DNL917573 DXG917568:DXH917573 EHC917568:EHD917573 EQY917568:EQZ917573 FAU917568:FAV917573 FKQ917568:FKR917573 FUM917568:FUN917573 GEI917568:GEJ917573 GOE917568:GOF917573 GYA917568:GYB917573 HHW917568:HHX917573 HRS917568:HRT917573 IBO917568:IBP917573 ILK917568:ILL917573 IVG917568:IVH917573 JFC917568:JFD917573 JOY917568:JOZ917573 JYU917568:JYV917573 KIQ917568:KIR917573 KSM917568:KSN917573 LCI917568:LCJ917573 LME917568:LMF917573 LWA917568:LWB917573 MFW917568:MFX917573 MPS917568:MPT917573 MZO917568:MZP917573 NJK917568:NJL917573 NTG917568:NTH917573 ODC917568:ODD917573 OMY917568:OMZ917573 OWU917568:OWV917573 PGQ917568:PGR917573 PQM917568:PQN917573 QAI917568:QAJ917573 QKE917568:QKF917573 QUA917568:QUB917573 RDW917568:RDX917573 RNS917568:RNT917573 RXO917568:RXP917573 SHK917568:SHL917573 SRG917568:SRH917573 TBC917568:TBD917573 TKY917568:TKZ917573 TUU917568:TUV917573 UEQ917568:UER917573 UOM917568:UON917573 UYI917568:UYJ917573 VIE917568:VIF917573 VSA917568:VSB917573 WBW917568:WBX917573 WLS917568:WLT917573 WVO917568:WVP917573 G983104:H983109 JC983104:JD983109 SY983104:SZ983109 ACU983104:ACV983109 AMQ983104:AMR983109 AWM983104:AWN983109 BGI983104:BGJ983109 BQE983104:BQF983109 CAA983104:CAB983109 CJW983104:CJX983109 CTS983104:CTT983109 DDO983104:DDP983109 DNK983104:DNL983109 DXG983104:DXH983109 EHC983104:EHD983109 EQY983104:EQZ983109 FAU983104:FAV983109 FKQ983104:FKR983109 FUM983104:FUN983109 GEI983104:GEJ983109 GOE983104:GOF983109 GYA983104:GYB983109 HHW983104:HHX983109 HRS983104:HRT983109 IBO983104:IBP983109 ILK983104:ILL983109 IVG983104:IVH983109 JFC983104:JFD983109 JOY983104:JOZ983109 JYU983104:JYV983109 KIQ983104:KIR983109 KSM983104:KSN983109 LCI983104:LCJ983109 LME983104:LMF983109 LWA983104:LWB983109 MFW983104:MFX983109 MPS983104:MPT983109 MZO983104:MZP983109 NJK983104:NJL983109 NTG983104:NTH983109 ODC983104:ODD983109 OMY983104:OMZ983109 OWU983104:OWV983109 PGQ983104:PGR983109 PQM983104:PQN983109 QAI983104:QAJ983109 QKE983104:QKF983109 QUA983104:QUB983109 RDW983104:RDX983109 RNS983104:RNT983109 RXO983104:RXP983109 SHK983104:SHL983109 SRG983104:SRH983109 TBC983104:TBD983109 TKY983104:TKZ983109 TUU983104:TUV983109 UEQ983104:UER983109 UOM983104:UON983109 UYI983104:UYJ983109 VIE983104:VIF983109 VSA983104:VSB983109 WBW983104:WBX983109 WLS983104:WLT983109 WVO983104:WVP983109 F101:I102 JB101:JE102 SX101:TA102 ACT101:ACW102 AMP101:AMS102 AWL101:AWO102 BGH101:BGK102 BQD101:BQG102 BZZ101:CAC102 CJV101:CJY102 CTR101:CTU102 DDN101:DDQ102 DNJ101:DNM102 DXF101:DXI102 EHB101:EHE102 EQX101:ERA102 FAT101:FAW102 FKP101:FKS102 FUL101:FUO102 GEH101:GEK102 GOD101:GOG102 GXZ101:GYC102 HHV101:HHY102 HRR101:HRU102 IBN101:IBQ102 ILJ101:ILM102 IVF101:IVI102 JFB101:JFE102 JOX101:JPA102 JYT101:JYW102 KIP101:KIS102 KSL101:KSO102 LCH101:LCK102 LMD101:LMG102 LVZ101:LWC102 MFV101:MFY102 MPR101:MPU102 MZN101:MZQ102 NJJ101:NJM102 NTF101:NTI102 ODB101:ODE102 OMX101:ONA102 OWT101:OWW102 PGP101:PGS102 PQL101:PQO102 QAH101:QAK102 QKD101:QKG102 QTZ101:QUC102 RDV101:RDY102 RNR101:RNU102 RXN101:RXQ102 SHJ101:SHM102 SRF101:SRI102 TBB101:TBE102 TKX101:TLA102 TUT101:TUW102 UEP101:UES102 UOL101:UOO102 UYH101:UYK102 VID101:VIG102 VRZ101:VSC102 WBV101:WBY102 WLR101:WLU102 WVN101:WVQ102 F65637:I65638 JB65637:JE65638 SX65637:TA65638 ACT65637:ACW65638 AMP65637:AMS65638 AWL65637:AWO65638 BGH65637:BGK65638 BQD65637:BQG65638 BZZ65637:CAC65638 CJV65637:CJY65638 CTR65637:CTU65638 DDN65637:DDQ65638 DNJ65637:DNM65638 DXF65637:DXI65638 EHB65637:EHE65638 EQX65637:ERA65638 FAT65637:FAW65638 FKP65637:FKS65638 FUL65637:FUO65638 GEH65637:GEK65638 GOD65637:GOG65638 GXZ65637:GYC65638 HHV65637:HHY65638 HRR65637:HRU65638 IBN65637:IBQ65638 ILJ65637:ILM65638 IVF65637:IVI65638 JFB65637:JFE65638 JOX65637:JPA65638 JYT65637:JYW65638 KIP65637:KIS65638 KSL65637:KSO65638 LCH65637:LCK65638 LMD65637:LMG65638 LVZ65637:LWC65638 MFV65637:MFY65638 MPR65637:MPU65638 MZN65637:MZQ65638 NJJ65637:NJM65638 NTF65637:NTI65638 ODB65637:ODE65638 OMX65637:ONA65638 OWT65637:OWW65638 PGP65637:PGS65638 PQL65637:PQO65638 QAH65637:QAK65638 QKD65637:QKG65638 QTZ65637:QUC65638 RDV65637:RDY65638 RNR65637:RNU65638 RXN65637:RXQ65638 SHJ65637:SHM65638 SRF65637:SRI65638 TBB65637:TBE65638 TKX65637:TLA65638 TUT65637:TUW65638 UEP65637:UES65638 UOL65637:UOO65638 UYH65637:UYK65638 VID65637:VIG65638 VRZ65637:VSC65638 WBV65637:WBY65638 WLR65637:WLU65638 WVN65637:WVQ65638 F131173:I131174 JB131173:JE131174 SX131173:TA131174 ACT131173:ACW131174 AMP131173:AMS131174 AWL131173:AWO131174 BGH131173:BGK131174 BQD131173:BQG131174 BZZ131173:CAC131174 CJV131173:CJY131174 CTR131173:CTU131174 DDN131173:DDQ131174 DNJ131173:DNM131174 DXF131173:DXI131174 EHB131173:EHE131174 EQX131173:ERA131174 FAT131173:FAW131174 FKP131173:FKS131174 FUL131173:FUO131174 GEH131173:GEK131174 GOD131173:GOG131174 GXZ131173:GYC131174 HHV131173:HHY131174 HRR131173:HRU131174 IBN131173:IBQ131174 ILJ131173:ILM131174 IVF131173:IVI131174 JFB131173:JFE131174 JOX131173:JPA131174 JYT131173:JYW131174 KIP131173:KIS131174 KSL131173:KSO131174 LCH131173:LCK131174 LMD131173:LMG131174 LVZ131173:LWC131174 MFV131173:MFY131174 MPR131173:MPU131174 MZN131173:MZQ131174 NJJ131173:NJM131174 NTF131173:NTI131174 ODB131173:ODE131174 OMX131173:ONA131174 OWT131173:OWW131174 PGP131173:PGS131174 PQL131173:PQO131174 QAH131173:QAK131174 QKD131173:QKG131174 QTZ131173:QUC131174 RDV131173:RDY131174 RNR131173:RNU131174 RXN131173:RXQ131174 SHJ131173:SHM131174 SRF131173:SRI131174 TBB131173:TBE131174 TKX131173:TLA131174 TUT131173:TUW131174 UEP131173:UES131174 UOL131173:UOO131174 UYH131173:UYK131174 VID131173:VIG131174 VRZ131173:VSC131174 WBV131173:WBY131174 WLR131173:WLU131174 WVN131173:WVQ131174 F196709:I196710 JB196709:JE196710 SX196709:TA196710 ACT196709:ACW196710 AMP196709:AMS196710 AWL196709:AWO196710 BGH196709:BGK196710 BQD196709:BQG196710 BZZ196709:CAC196710 CJV196709:CJY196710 CTR196709:CTU196710 DDN196709:DDQ196710 DNJ196709:DNM196710 DXF196709:DXI196710 EHB196709:EHE196710 EQX196709:ERA196710 FAT196709:FAW196710 FKP196709:FKS196710 FUL196709:FUO196710 GEH196709:GEK196710 GOD196709:GOG196710 GXZ196709:GYC196710 HHV196709:HHY196710 HRR196709:HRU196710 IBN196709:IBQ196710 ILJ196709:ILM196710 IVF196709:IVI196710 JFB196709:JFE196710 JOX196709:JPA196710 JYT196709:JYW196710 KIP196709:KIS196710 KSL196709:KSO196710 LCH196709:LCK196710 LMD196709:LMG196710 LVZ196709:LWC196710 MFV196709:MFY196710 MPR196709:MPU196710 MZN196709:MZQ196710 NJJ196709:NJM196710 NTF196709:NTI196710 ODB196709:ODE196710 OMX196709:ONA196710 OWT196709:OWW196710 PGP196709:PGS196710 PQL196709:PQO196710 QAH196709:QAK196710 QKD196709:QKG196710 QTZ196709:QUC196710 RDV196709:RDY196710 RNR196709:RNU196710 RXN196709:RXQ196710 SHJ196709:SHM196710 SRF196709:SRI196710 TBB196709:TBE196710 TKX196709:TLA196710 TUT196709:TUW196710 UEP196709:UES196710 UOL196709:UOO196710 UYH196709:UYK196710 VID196709:VIG196710 VRZ196709:VSC196710 WBV196709:WBY196710 WLR196709:WLU196710 WVN196709:WVQ196710 F262245:I262246 JB262245:JE262246 SX262245:TA262246 ACT262245:ACW262246 AMP262245:AMS262246 AWL262245:AWO262246 BGH262245:BGK262246 BQD262245:BQG262246 BZZ262245:CAC262246 CJV262245:CJY262246 CTR262245:CTU262246 DDN262245:DDQ262246 DNJ262245:DNM262246 DXF262245:DXI262246 EHB262245:EHE262246 EQX262245:ERA262246 FAT262245:FAW262246 FKP262245:FKS262246 FUL262245:FUO262246 GEH262245:GEK262246 GOD262245:GOG262246 GXZ262245:GYC262246 HHV262245:HHY262246 HRR262245:HRU262246 IBN262245:IBQ262246 ILJ262245:ILM262246 IVF262245:IVI262246 JFB262245:JFE262246 JOX262245:JPA262246 JYT262245:JYW262246 KIP262245:KIS262246 KSL262245:KSO262246 LCH262245:LCK262246 LMD262245:LMG262246 LVZ262245:LWC262246 MFV262245:MFY262246 MPR262245:MPU262246 MZN262245:MZQ262246 NJJ262245:NJM262246 NTF262245:NTI262246 ODB262245:ODE262246 OMX262245:ONA262246 OWT262245:OWW262246 PGP262245:PGS262246 PQL262245:PQO262246 QAH262245:QAK262246 QKD262245:QKG262246 QTZ262245:QUC262246 RDV262245:RDY262246 RNR262245:RNU262246 RXN262245:RXQ262246 SHJ262245:SHM262246 SRF262245:SRI262246 TBB262245:TBE262246 TKX262245:TLA262246 TUT262245:TUW262246 UEP262245:UES262246 UOL262245:UOO262246 UYH262245:UYK262246 VID262245:VIG262246 VRZ262245:VSC262246 WBV262245:WBY262246 WLR262245:WLU262246 WVN262245:WVQ262246 F327781:I327782 JB327781:JE327782 SX327781:TA327782 ACT327781:ACW327782 AMP327781:AMS327782 AWL327781:AWO327782 BGH327781:BGK327782 BQD327781:BQG327782 BZZ327781:CAC327782 CJV327781:CJY327782 CTR327781:CTU327782 DDN327781:DDQ327782 DNJ327781:DNM327782 DXF327781:DXI327782 EHB327781:EHE327782 EQX327781:ERA327782 FAT327781:FAW327782 FKP327781:FKS327782 FUL327781:FUO327782 GEH327781:GEK327782 GOD327781:GOG327782 GXZ327781:GYC327782 HHV327781:HHY327782 HRR327781:HRU327782 IBN327781:IBQ327782 ILJ327781:ILM327782 IVF327781:IVI327782 JFB327781:JFE327782 JOX327781:JPA327782 JYT327781:JYW327782 KIP327781:KIS327782 KSL327781:KSO327782 LCH327781:LCK327782 LMD327781:LMG327782 LVZ327781:LWC327782 MFV327781:MFY327782 MPR327781:MPU327782 MZN327781:MZQ327782 NJJ327781:NJM327782 NTF327781:NTI327782 ODB327781:ODE327782 OMX327781:ONA327782 OWT327781:OWW327782 PGP327781:PGS327782 PQL327781:PQO327782 QAH327781:QAK327782 QKD327781:QKG327782 QTZ327781:QUC327782 RDV327781:RDY327782 RNR327781:RNU327782 RXN327781:RXQ327782 SHJ327781:SHM327782 SRF327781:SRI327782 TBB327781:TBE327782 TKX327781:TLA327782 TUT327781:TUW327782 UEP327781:UES327782 UOL327781:UOO327782 UYH327781:UYK327782 VID327781:VIG327782 VRZ327781:VSC327782 WBV327781:WBY327782 WLR327781:WLU327782 WVN327781:WVQ327782 F393317:I393318 JB393317:JE393318 SX393317:TA393318 ACT393317:ACW393318 AMP393317:AMS393318 AWL393317:AWO393318 BGH393317:BGK393318 BQD393317:BQG393318 BZZ393317:CAC393318 CJV393317:CJY393318 CTR393317:CTU393318 DDN393317:DDQ393318 DNJ393317:DNM393318 DXF393317:DXI393318 EHB393317:EHE393318 EQX393317:ERA393318 FAT393317:FAW393318 FKP393317:FKS393318 FUL393317:FUO393318 GEH393317:GEK393318 GOD393317:GOG393318 GXZ393317:GYC393318 HHV393317:HHY393318 HRR393317:HRU393318 IBN393317:IBQ393318 ILJ393317:ILM393318 IVF393317:IVI393318 JFB393317:JFE393318 JOX393317:JPA393318 JYT393317:JYW393318 KIP393317:KIS393318 KSL393317:KSO393318 LCH393317:LCK393318 LMD393317:LMG393318 LVZ393317:LWC393318 MFV393317:MFY393318 MPR393317:MPU393318 MZN393317:MZQ393318 NJJ393317:NJM393318 NTF393317:NTI393318 ODB393317:ODE393318 OMX393317:ONA393318 OWT393317:OWW393318 PGP393317:PGS393318 PQL393317:PQO393318 QAH393317:QAK393318 QKD393317:QKG393318 QTZ393317:QUC393318 RDV393317:RDY393318 RNR393317:RNU393318 RXN393317:RXQ393318 SHJ393317:SHM393318 SRF393317:SRI393318 TBB393317:TBE393318 TKX393317:TLA393318 TUT393317:TUW393318 UEP393317:UES393318 UOL393317:UOO393318 UYH393317:UYK393318 VID393317:VIG393318 VRZ393317:VSC393318 WBV393317:WBY393318 WLR393317:WLU393318 WVN393317:WVQ393318 F458853:I458854 JB458853:JE458854 SX458853:TA458854 ACT458853:ACW458854 AMP458853:AMS458854 AWL458853:AWO458854 BGH458853:BGK458854 BQD458853:BQG458854 BZZ458853:CAC458854 CJV458853:CJY458854 CTR458853:CTU458854 DDN458853:DDQ458854 DNJ458853:DNM458854 DXF458853:DXI458854 EHB458853:EHE458854 EQX458853:ERA458854 FAT458853:FAW458854 FKP458853:FKS458854 FUL458853:FUO458854 GEH458853:GEK458854 GOD458853:GOG458854 GXZ458853:GYC458854 HHV458853:HHY458854 HRR458853:HRU458854 IBN458853:IBQ458854 ILJ458853:ILM458854 IVF458853:IVI458854 JFB458853:JFE458854 JOX458853:JPA458854 JYT458853:JYW458854 KIP458853:KIS458854 KSL458853:KSO458854 LCH458853:LCK458854 LMD458853:LMG458854 LVZ458853:LWC458854 MFV458853:MFY458854 MPR458853:MPU458854 MZN458853:MZQ458854 NJJ458853:NJM458854 NTF458853:NTI458854 ODB458853:ODE458854 OMX458853:ONA458854 OWT458853:OWW458854 PGP458853:PGS458854 PQL458853:PQO458854 QAH458853:QAK458854 QKD458853:QKG458854 QTZ458853:QUC458854 RDV458853:RDY458854 RNR458853:RNU458854 RXN458853:RXQ458854 SHJ458853:SHM458854 SRF458853:SRI458854 TBB458853:TBE458854 TKX458853:TLA458854 TUT458853:TUW458854 UEP458853:UES458854 UOL458853:UOO458854 UYH458853:UYK458854 VID458853:VIG458854 VRZ458853:VSC458854 WBV458853:WBY458854 WLR458853:WLU458854 WVN458853:WVQ458854 F524389:I524390 JB524389:JE524390 SX524389:TA524390 ACT524389:ACW524390 AMP524389:AMS524390 AWL524389:AWO524390 BGH524389:BGK524390 BQD524389:BQG524390 BZZ524389:CAC524390 CJV524389:CJY524390 CTR524389:CTU524390 DDN524389:DDQ524390 DNJ524389:DNM524390 DXF524389:DXI524390 EHB524389:EHE524390 EQX524389:ERA524390 FAT524389:FAW524390 FKP524389:FKS524390 FUL524389:FUO524390 GEH524389:GEK524390 GOD524389:GOG524390 GXZ524389:GYC524390 HHV524389:HHY524390 HRR524389:HRU524390 IBN524389:IBQ524390 ILJ524389:ILM524390 IVF524389:IVI524390 JFB524389:JFE524390 JOX524389:JPA524390 JYT524389:JYW524390 KIP524389:KIS524390 KSL524389:KSO524390 LCH524389:LCK524390 LMD524389:LMG524390 LVZ524389:LWC524390 MFV524389:MFY524390 MPR524389:MPU524390 MZN524389:MZQ524390 NJJ524389:NJM524390 NTF524389:NTI524390 ODB524389:ODE524390 OMX524389:ONA524390 OWT524389:OWW524390 PGP524389:PGS524390 PQL524389:PQO524390 QAH524389:QAK524390 QKD524389:QKG524390 QTZ524389:QUC524390 RDV524389:RDY524390 RNR524389:RNU524390 RXN524389:RXQ524390 SHJ524389:SHM524390 SRF524389:SRI524390 TBB524389:TBE524390 TKX524389:TLA524390 TUT524389:TUW524390 UEP524389:UES524390 UOL524389:UOO524390 UYH524389:UYK524390 VID524389:VIG524390 VRZ524389:VSC524390 WBV524389:WBY524390 WLR524389:WLU524390 WVN524389:WVQ524390 F589925:I589926 JB589925:JE589926 SX589925:TA589926 ACT589925:ACW589926 AMP589925:AMS589926 AWL589925:AWO589926 BGH589925:BGK589926 BQD589925:BQG589926 BZZ589925:CAC589926 CJV589925:CJY589926 CTR589925:CTU589926 DDN589925:DDQ589926 DNJ589925:DNM589926 DXF589925:DXI589926 EHB589925:EHE589926 EQX589925:ERA589926 FAT589925:FAW589926 FKP589925:FKS589926 FUL589925:FUO589926 GEH589925:GEK589926 GOD589925:GOG589926 GXZ589925:GYC589926 HHV589925:HHY589926 HRR589925:HRU589926 IBN589925:IBQ589926 ILJ589925:ILM589926 IVF589925:IVI589926 JFB589925:JFE589926 JOX589925:JPA589926 JYT589925:JYW589926 KIP589925:KIS589926 KSL589925:KSO589926 LCH589925:LCK589926 LMD589925:LMG589926 LVZ589925:LWC589926 MFV589925:MFY589926 MPR589925:MPU589926 MZN589925:MZQ589926 NJJ589925:NJM589926 NTF589925:NTI589926 ODB589925:ODE589926 OMX589925:ONA589926 OWT589925:OWW589926 PGP589925:PGS589926 PQL589925:PQO589926 QAH589925:QAK589926 QKD589925:QKG589926 QTZ589925:QUC589926 RDV589925:RDY589926 RNR589925:RNU589926 RXN589925:RXQ589926 SHJ589925:SHM589926 SRF589925:SRI589926 TBB589925:TBE589926 TKX589925:TLA589926 TUT589925:TUW589926 UEP589925:UES589926 UOL589925:UOO589926 UYH589925:UYK589926 VID589925:VIG589926 VRZ589925:VSC589926 WBV589925:WBY589926 WLR589925:WLU589926 WVN589925:WVQ589926 F655461:I655462 JB655461:JE655462 SX655461:TA655462 ACT655461:ACW655462 AMP655461:AMS655462 AWL655461:AWO655462 BGH655461:BGK655462 BQD655461:BQG655462 BZZ655461:CAC655462 CJV655461:CJY655462 CTR655461:CTU655462 DDN655461:DDQ655462 DNJ655461:DNM655462 DXF655461:DXI655462 EHB655461:EHE655462 EQX655461:ERA655462 FAT655461:FAW655462 FKP655461:FKS655462 FUL655461:FUO655462 GEH655461:GEK655462 GOD655461:GOG655462 GXZ655461:GYC655462 HHV655461:HHY655462 HRR655461:HRU655462 IBN655461:IBQ655462 ILJ655461:ILM655462 IVF655461:IVI655462 JFB655461:JFE655462 JOX655461:JPA655462 JYT655461:JYW655462 KIP655461:KIS655462 KSL655461:KSO655462 LCH655461:LCK655462 LMD655461:LMG655462 LVZ655461:LWC655462 MFV655461:MFY655462 MPR655461:MPU655462 MZN655461:MZQ655462 NJJ655461:NJM655462 NTF655461:NTI655462 ODB655461:ODE655462 OMX655461:ONA655462 OWT655461:OWW655462 PGP655461:PGS655462 PQL655461:PQO655462 QAH655461:QAK655462 QKD655461:QKG655462 QTZ655461:QUC655462 RDV655461:RDY655462 RNR655461:RNU655462 RXN655461:RXQ655462 SHJ655461:SHM655462 SRF655461:SRI655462 TBB655461:TBE655462 TKX655461:TLA655462 TUT655461:TUW655462 UEP655461:UES655462 UOL655461:UOO655462 UYH655461:UYK655462 VID655461:VIG655462 VRZ655461:VSC655462 WBV655461:WBY655462 WLR655461:WLU655462 WVN655461:WVQ655462 F720997:I720998 JB720997:JE720998 SX720997:TA720998 ACT720997:ACW720998 AMP720997:AMS720998 AWL720997:AWO720998 BGH720997:BGK720998 BQD720997:BQG720998 BZZ720997:CAC720998 CJV720997:CJY720998 CTR720997:CTU720998 DDN720997:DDQ720998 DNJ720997:DNM720998 DXF720997:DXI720998 EHB720997:EHE720998 EQX720997:ERA720998 FAT720997:FAW720998 FKP720997:FKS720998 FUL720997:FUO720998 GEH720997:GEK720998 GOD720997:GOG720998 GXZ720997:GYC720998 HHV720997:HHY720998 HRR720997:HRU720998 IBN720997:IBQ720998 ILJ720997:ILM720998 IVF720997:IVI720998 JFB720997:JFE720998 JOX720997:JPA720998 JYT720997:JYW720998 KIP720997:KIS720998 KSL720997:KSO720998 LCH720997:LCK720998 LMD720997:LMG720998 LVZ720997:LWC720998 MFV720997:MFY720998 MPR720997:MPU720998 MZN720997:MZQ720998 NJJ720997:NJM720998 NTF720997:NTI720998 ODB720997:ODE720998 OMX720997:ONA720998 OWT720997:OWW720998 PGP720997:PGS720998 PQL720997:PQO720998 QAH720997:QAK720998 QKD720997:QKG720998 QTZ720997:QUC720998 RDV720997:RDY720998 RNR720997:RNU720998 RXN720997:RXQ720998 SHJ720997:SHM720998 SRF720997:SRI720998 TBB720997:TBE720998 TKX720997:TLA720998 TUT720997:TUW720998 UEP720997:UES720998 UOL720997:UOO720998 UYH720997:UYK720998 VID720997:VIG720998 VRZ720997:VSC720998 WBV720997:WBY720998 WLR720997:WLU720998 WVN720997:WVQ720998 F786533:I786534 JB786533:JE786534 SX786533:TA786534 ACT786533:ACW786534 AMP786533:AMS786534 AWL786533:AWO786534 BGH786533:BGK786534 BQD786533:BQG786534 BZZ786533:CAC786534 CJV786533:CJY786534 CTR786533:CTU786534 DDN786533:DDQ786534 DNJ786533:DNM786534 DXF786533:DXI786534 EHB786533:EHE786534 EQX786533:ERA786534 FAT786533:FAW786534 FKP786533:FKS786534 FUL786533:FUO786534 GEH786533:GEK786534 GOD786533:GOG786534 GXZ786533:GYC786534 HHV786533:HHY786534 HRR786533:HRU786534 IBN786533:IBQ786534 ILJ786533:ILM786534 IVF786533:IVI786534 JFB786533:JFE786534 JOX786533:JPA786534 JYT786533:JYW786534 KIP786533:KIS786534 KSL786533:KSO786534 LCH786533:LCK786534 LMD786533:LMG786534 LVZ786533:LWC786534 MFV786533:MFY786534 MPR786533:MPU786534 MZN786533:MZQ786534 NJJ786533:NJM786534 NTF786533:NTI786534 ODB786533:ODE786534 OMX786533:ONA786534 OWT786533:OWW786534 PGP786533:PGS786534 PQL786533:PQO786534 QAH786533:QAK786534 QKD786533:QKG786534 QTZ786533:QUC786534 RDV786533:RDY786534 RNR786533:RNU786534 RXN786533:RXQ786534 SHJ786533:SHM786534 SRF786533:SRI786534 TBB786533:TBE786534 TKX786533:TLA786534 TUT786533:TUW786534 UEP786533:UES786534 UOL786533:UOO786534 UYH786533:UYK786534 VID786533:VIG786534 VRZ786533:VSC786534 WBV786533:WBY786534 WLR786533:WLU786534 WVN786533:WVQ786534 F852069:I852070 JB852069:JE852070 SX852069:TA852070 ACT852069:ACW852070 AMP852069:AMS852070 AWL852069:AWO852070 BGH852069:BGK852070 BQD852069:BQG852070 BZZ852069:CAC852070 CJV852069:CJY852070 CTR852069:CTU852070 DDN852069:DDQ852070 DNJ852069:DNM852070 DXF852069:DXI852070 EHB852069:EHE852070 EQX852069:ERA852070 FAT852069:FAW852070 FKP852069:FKS852070 FUL852069:FUO852070 GEH852069:GEK852070 GOD852069:GOG852070 GXZ852069:GYC852070 HHV852069:HHY852070 HRR852069:HRU852070 IBN852069:IBQ852070 ILJ852069:ILM852070 IVF852069:IVI852070 JFB852069:JFE852070 JOX852069:JPA852070 JYT852069:JYW852070 KIP852069:KIS852070 KSL852069:KSO852070 LCH852069:LCK852070 LMD852069:LMG852070 LVZ852069:LWC852070 MFV852069:MFY852070 MPR852069:MPU852070 MZN852069:MZQ852070 NJJ852069:NJM852070 NTF852069:NTI852070 ODB852069:ODE852070 OMX852069:ONA852070 OWT852069:OWW852070 PGP852069:PGS852070 PQL852069:PQO852070 QAH852069:QAK852070 QKD852069:QKG852070 QTZ852069:QUC852070 RDV852069:RDY852070 RNR852069:RNU852070 RXN852069:RXQ852070 SHJ852069:SHM852070 SRF852069:SRI852070 TBB852069:TBE852070 TKX852069:TLA852070 TUT852069:TUW852070 UEP852069:UES852070 UOL852069:UOO852070 UYH852069:UYK852070 VID852069:VIG852070 VRZ852069:VSC852070 WBV852069:WBY852070 WLR852069:WLU852070 WVN852069:WVQ852070 F917605:I917606 JB917605:JE917606 SX917605:TA917606 ACT917605:ACW917606 AMP917605:AMS917606 AWL917605:AWO917606 BGH917605:BGK917606 BQD917605:BQG917606 BZZ917605:CAC917606 CJV917605:CJY917606 CTR917605:CTU917606 DDN917605:DDQ917606 DNJ917605:DNM917606 DXF917605:DXI917606 EHB917605:EHE917606 EQX917605:ERA917606 FAT917605:FAW917606 FKP917605:FKS917606 FUL917605:FUO917606 GEH917605:GEK917606 GOD917605:GOG917606 GXZ917605:GYC917606 HHV917605:HHY917606 HRR917605:HRU917606 IBN917605:IBQ917606 ILJ917605:ILM917606 IVF917605:IVI917606 JFB917605:JFE917606 JOX917605:JPA917606 JYT917605:JYW917606 KIP917605:KIS917606 KSL917605:KSO917606 LCH917605:LCK917606 LMD917605:LMG917606 LVZ917605:LWC917606 MFV917605:MFY917606 MPR917605:MPU917606 MZN917605:MZQ917606 NJJ917605:NJM917606 NTF917605:NTI917606 ODB917605:ODE917606 OMX917605:ONA917606 OWT917605:OWW917606 PGP917605:PGS917606 PQL917605:PQO917606 QAH917605:QAK917606 QKD917605:QKG917606 QTZ917605:QUC917606 RDV917605:RDY917606 RNR917605:RNU917606 RXN917605:RXQ917606 SHJ917605:SHM917606 SRF917605:SRI917606 TBB917605:TBE917606 TKX917605:TLA917606 TUT917605:TUW917606 UEP917605:UES917606 UOL917605:UOO917606 UYH917605:UYK917606 VID917605:VIG917606 VRZ917605:VSC917606 WBV917605:WBY917606 WLR917605:WLU917606 WVN917605:WVQ917606 F983141:I983142 JB983141:JE983142 SX983141:TA983142 ACT983141:ACW983142 AMP983141:AMS983142 AWL983141:AWO983142 BGH983141:BGK983142 BQD983141:BQG983142 BZZ983141:CAC983142 CJV983141:CJY983142 CTR983141:CTU983142 DDN983141:DDQ983142 DNJ983141:DNM983142 DXF983141:DXI983142 EHB983141:EHE983142 EQX983141:ERA983142 FAT983141:FAW983142 FKP983141:FKS983142 FUL983141:FUO983142 GEH983141:GEK983142 GOD983141:GOG983142 GXZ983141:GYC983142 HHV983141:HHY983142 HRR983141:HRU983142 IBN983141:IBQ983142 ILJ983141:ILM983142 IVF983141:IVI983142 JFB983141:JFE983142 JOX983141:JPA983142 JYT983141:JYW983142 KIP983141:KIS983142 KSL983141:KSO983142 LCH983141:LCK983142 LMD983141:LMG983142 LVZ983141:LWC983142 MFV983141:MFY983142 MPR983141:MPU983142 MZN983141:MZQ983142 NJJ983141:NJM983142 NTF983141:NTI983142 ODB983141:ODE983142 OMX983141:ONA983142 OWT983141:OWW983142 PGP983141:PGS983142 PQL983141:PQO983142 QAH983141:QAK983142 QKD983141:QKG983142 QTZ983141:QUC983142 RDV983141:RDY983142 RNR983141:RNU983142 RXN983141:RXQ983142 SHJ983141:SHM983142 SRF983141:SRI983142 TBB983141:TBE983142 TKX983141:TLA983142 TUT983141:TUW983142 UEP983141:UES983142 UOL983141:UOO983142 UYH983141:UYK983142 VID983141:VIG983142 VRZ983141:VSC983142 WBV983141:WBY983142 WLR983141:WLU983142 WVN983141:WVQ983142 F76:I83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TablaGeneral"/>
  <dimension ref="A2:L3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:L34"/>
    </sheetView>
  </sheetViews>
  <sheetFormatPr baseColWidth="10" defaultColWidth="9.140625" defaultRowHeight="15" x14ac:dyDescent="0.25"/>
  <cols>
    <col min="1" max="1" width="10.5703125" style="87" customWidth="1"/>
    <col min="2" max="2" width="16.42578125" style="88" bestFit="1" customWidth="1"/>
    <col min="3" max="3" width="16.85546875" style="87" bestFit="1" customWidth="1"/>
    <col min="4" max="4" width="9.42578125" style="89" bestFit="1" customWidth="1"/>
    <col min="5" max="9" width="6.7109375" style="89" customWidth="1"/>
    <col min="10" max="10" width="6.7109375" style="90" customWidth="1"/>
    <col min="11" max="11" width="8.140625" style="1" customWidth="1"/>
    <col min="12" max="12" width="7.7109375" style="1" customWidth="1"/>
    <col min="13" max="257" width="9.140625" style="1"/>
    <col min="258" max="258" width="16.42578125" style="1" bestFit="1" customWidth="1"/>
    <col min="259" max="259" width="16.85546875" style="1" bestFit="1" customWidth="1"/>
    <col min="260" max="266" width="6.7109375" style="1" customWidth="1"/>
    <col min="267" max="267" width="8.140625" style="1" customWidth="1"/>
    <col min="268" max="268" width="6.7109375" style="1" customWidth="1"/>
    <col min="269" max="513" width="9.140625" style="1"/>
    <col min="514" max="514" width="16.42578125" style="1" bestFit="1" customWidth="1"/>
    <col min="515" max="515" width="16.85546875" style="1" bestFit="1" customWidth="1"/>
    <col min="516" max="522" width="6.7109375" style="1" customWidth="1"/>
    <col min="523" max="523" width="8.140625" style="1" customWidth="1"/>
    <col min="524" max="524" width="6.7109375" style="1" customWidth="1"/>
    <col min="525" max="769" width="9.140625" style="1"/>
    <col min="770" max="770" width="16.42578125" style="1" bestFit="1" customWidth="1"/>
    <col min="771" max="771" width="16.85546875" style="1" bestFit="1" customWidth="1"/>
    <col min="772" max="778" width="6.7109375" style="1" customWidth="1"/>
    <col min="779" max="779" width="8.140625" style="1" customWidth="1"/>
    <col min="780" max="780" width="6.7109375" style="1" customWidth="1"/>
    <col min="781" max="1025" width="9.140625" style="1"/>
    <col min="1026" max="1026" width="16.42578125" style="1" bestFit="1" customWidth="1"/>
    <col min="1027" max="1027" width="16.85546875" style="1" bestFit="1" customWidth="1"/>
    <col min="1028" max="1034" width="6.7109375" style="1" customWidth="1"/>
    <col min="1035" max="1035" width="8.140625" style="1" customWidth="1"/>
    <col min="1036" max="1036" width="6.7109375" style="1" customWidth="1"/>
    <col min="1037" max="1281" width="9.140625" style="1"/>
    <col min="1282" max="1282" width="16.42578125" style="1" bestFit="1" customWidth="1"/>
    <col min="1283" max="1283" width="16.85546875" style="1" bestFit="1" customWidth="1"/>
    <col min="1284" max="1290" width="6.7109375" style="1" customWidth="1"/>
    <col min="1291" max="1291" width="8.140625" style="1" customWidth="1"/>
    <col min="1292" max="1292" width="6.7109375" style="1" customWidth="1"/>
    <col min="1293" max="1537" width="9.140625" style="1"/>
    <col min="1538" max="1538" width="16.42578125" style="1" bestFit="1" customWidth="1"/>
    <col min="1539" max="1539" width="16.85546875" style="1" bestFit="1" customWidth="1"/>
    <col min="1540" max="1546" width="6.7109375" style="1" customWidth="1"/>
    <col min="1547" max="1547" width="8.140625" style="1" customWidth="1"/>
    <col min="1548" max="1548" width="6.7109375" style="1" customWidth="1"/>
    <col min="1549" max="1793" width="9.140625" style="1"/>
    <col min="1794" max="1794" width="16.42578125" style="1" bestFit="1" customWidth="1"/>
    <col min="1795" max="1795" width="16.85546875" style="1" bestFit="1" customWidth="1"/>
    <col min="1796" max="1802" width="6.7109375" style="1" customWidth="1"/>
    <col min="1803" max="1803" width="8.140625" style="1" customWidth="1"/>
    <col min="1804" max="1804" width="6.7109375" style="1" customWidth="1"/>
    <col min="1805" max="2049" width="9.140625" style="1"/>
    <col min="2050" max="2050" width="16.42578125" style="1" bestFit="1" customWidth="1"/>
    <col min="2051" max="2051" width="16.85546875" style="1" bestFit="1" customWidth="1"/>
    <col min="2052" max="2058" width="6.7109375" style="1" customWidth="1"/>
    <col min="2059" max="2059" width="8.140625" style="1" customWidth="1"/>
    <col min="2060" max="2060" width="6.7109375" style="1" customWidth="1"/>
    <col min="2061" max="2305" width="9.140625" style="1"/>
    <col min="2306" max="2306" width="16.42578125" style="1" bestFit="1" customWidth="1"/>
    <col min="2307" max="2307" width="16.85546875" style="1" bestFit="1" customWidth="1"/>
    <col min="2308" max="2314" width="6.7109375" style="1" customWidth="1"/>
    <col min="2315" max="2315" width="8.140625" style="1" customWidth="1"/>
    <col min="2316" max="2316" width="6.7109375" style="1" customWidth="1"/>
    <col min="2317" max="2561" width="9.140625" style="1"/>
    <col min="2562" max="2562" width="16.42578125" style="1" bestFit="1" customWidth="1"/>
    <col min="2563" max="2563" width="16.85546875" style="1" bestFit="1" customWidth="1"/>
    <col min="2564" max="2570" width="6.7109375" style="1" customWidth="1"/>
    <col min="2571" max="2571" width="8.140625" style="1" customWidth="1"/>
    <col min="2572" max="2572" width="6.7109375" style="1" customWidth="1"/>
    <col min="2573" max="2817" width="9.140625" style="1"/>
    <col min="2818" max="2818" width="16.42578125" style="1" bestFit="1" customWidth="1"/>
    <col min="2819" max="2819" width="16.85546875" style="1" bestFit="1" customWidth="1"/>
    <col min="2820" max="2826" width="6.7109375" style="1" customWidth="1"/>
    <col min="2827" max="2827" width="8.140625" style="1" customWidth="1"/>
    <col min="2828" max="2828" width="6.7109375" style="1" customWidth="1"/>
    <col min="2829" max="3073" width="9.140625" style="1"/>
    <col min="3074" max="3074" width="16.42578125" style="1" bestFit="1" customWidth="1"/>
    <col min="3075" max="3075" width="16.85546875" style="1" bestFit="1" customWidth="1"/>
    <col min="3076" max="3082" width="6.7109375" style="1" customWidth="1"/>
    <col min="3083" max="3083" width="8.140625" style="1" customWidth="1"/>
    <col min="3084" max="3084" width="6.7109375" style="1" customWidth="1"/>
    <col min="3085" max="3329" width="9.140625" style="1"/>
    <col min="3330" max="3330" width="16.42578125" style="1" bestFit="1" customWidth="1"/>
    <col min="3331" max="3331" width="16.85546875" style="1" bestFit="1" customWidth="1"/>
    <col min="3332" max="3338" width="6.7109375" style="1" customWidth="1"/>
    <col min="3339" max="3339" width="8.140625" style="1" customWidth="1"/>
    <col min="3340" max="3340" width="6.7109375" style="1" customWidth="1"/>
    <col min="3341" max="3585" width="9.140625" style="1"/>
    <col min="3586" max="3586" width="16.42578125" style="1" bestFit="1" customWidth="1"/>
    <col min="3587" max="3587" width="16.85546875" style="1" bestFit="1" customWidth="1"/>
    <col min="3588" max="3594" width="6.7109375" style="1" customWidth="1"/>
    <col min="3595" max="3595" width="8.140625" style="1" customWidth="1"/>
    <col min="3596" max="3596" width="6.7109375" style="1" customWidth="1"/>
    <col min="3597" max="3841" width="9.140625" style="1"/>
    <col min="3842" max="3842" width="16.42578125" style="1" bestFit="1" customWidth="1"/>
    <col min="3843" max="3843" width="16.85546875" style="1" bestFit="1" customWidth="1"/>
    <col min="3844" max="3850" width="6.7109375" style="1" customWidth="1"/>
    <col min="3851" max="3851" width="8.140625" style="1" customWidth="1"/>
    <col min="3852" max="3852" width="6.7109375" style="1" customWidth="1"/>
    <col min="3853" max="4097" width="9.140625" style="1"/>
    <col min="4098" max="4098" width="16.42578125" style="1" bestFit="1" customWidth="1"/>
    <col min="4099" max="4099" width="16.85546875" style="1" bestFit="1" customWidth="1"/>
    <col min="4100" max="4106" width="6.7109375" style="1" customWidth="1"/>
    <col min="4107" max="4107" width="8.140625" style="1" customWidth="1"/>
    <col min="4108" max="4108" width="6.7109375" style="1" customWidth="1"/>
    <col min="4109" max="4353" width="9.140625" style="1"/>
    <col min="4354" max="4354" width="16.42578125" style="1" bestFit="1" customWidth="1"/>
    <col min="4355" max="4355" width="16.85546875" style="1" bestFit="1" customWidth="1"/>
    <col min="4356" max="4362" width="6.7109375" style="1" customWidth="1"/>
    <col min="4363" max="4363" width="8.140625" style="1" customWidth="1"/>
    <col min="4364" max="4364" width="6.7109375" style="1" customWidth="1"/>
    <col min="4365" max="4609" width="9.140625" style="1"/>
    <col min="4610" max="4610" width="16.42578125" style="1" bestFit="1" customWidth="1"/>
    <col min="4611" max="4611" width="16.85546875" style="1" bestFit="1" customWidth="1"/>
    <col min="4612" max="4618" width="6.7109375" style="1" customWidth="1"/>
    <col min="4619" max="4619" width="8.140625" style="1" customWidth="1"/>
    <col min="4620" max="4620" width="6.7109375" style="1" customWidth="1"/>
    <col min="4621" max="4865" width="9.140625" style="1"/>
    <col min="4866" max="4866" width="16.42578125" style="1" bestFit="1" customWidth="1"/>
    <col min="4867" max="4867" width="16.85546875" style="1" bestFit="1" customWidth="1"/>
    <col min="4868" max="4874" width="6.7109375" style="1" customWidth="1"/>
    <col min="4875" max="4875" width="8.140625" style="1" customWidth="1"/>
    <col min="4876" max="4876" width="6.7109375" style="1" customWidth="1"/>
    <col min="4877" max="5121" width="9.140625" style="1"/>
    <col min="5122" max="5122" width="16.42578125" style="1" bestFit="1" customWidth="1"/>
    <col min="5123" max="5123" width="16.85546875" style="1" bestFit="1" customWidth="1"/>
    <col min="5124" max="5130" width="6.7109375" style="1" customWidth="1"/>
    <col min="5131" max="5131" width="8.140625" style="1" customWidth="1"/>
    <col min="5132" max="5132" width="6.7109375" style="1" customWidth="1"/>
    <col min="5133" max="5377" width="9.140625" style="1"/>
    <col min="5378" max="5378" width="16.42578125" style="1" bestFit="1" customWidth="1"/>
    <col min="5379" max="5379" width="16.85546875" style="1" bestFit="1" customWidth="1"/>
    <col min="5380" max="5386" width="6.7109375" style="1" customWidth="1"/>
    <col min="5387" max="5387" width="8.140625" style="1" customWidth="1"/>
    <col min="5388" max="5388" width="6.7109375" style="1" customWidth="1"/>
    <col min="5389" max="5633" width="9.140625" style="1"/>
    <col min="5634" max="5634" width="16.42578125" style="1" bestFit="1" customWidth="1"/>
    <col min="5635" max="5635" width="16.85546875" style="1" bestFit="1" customWidth="1"/>
    <col min="5636" max="5642" width="6.7109375" style="1" customWidth="1"/>
    <col min="5643" max="5643" width="8.140625" style="1" customWidth="1"/>
    <col min="5644" max="5644" width="6.7109375" style="1" customWidth="1"/>
    <col min="5645" max="5889" width="9.140625" style="1"/>
    <col min="5890" max="5890" width="16.42578125" style="1" bestFit="1" customWidth="1"/>
    <col min="5891" max="5891" width="16.85546875" style="1" bestFit="1" customWidth="1"/>
    <col min="5892" max="5898" width="6.7109375" style="1" customWidth="1"/>
    <col min="5899" max="5899" width="8.140625" style="1" customWidth="1"/>
    <col min="5900" max="5900" width="6.7109375" style="1" customWidth="1"/>
    <col min="5901" max="6145" width="9.140625" style="1"/>
    <col min="6146" max="6146" width="16.42578125" style="1" bestFit="1" customWidth="1"/>
    <col min="6147" max="6147" width="16.85546875" style="1" bestFit="1" customWidth="1"/>
    <col min="6148" max="6154" width="6.7109375" style="1" customWidth="1"/>
    <col min="6155" max="6155" width="8.140625" style="1" customWidth="1"/>
    <col min="6156" max="6156" width="6.7109375" style="1" customWidth="1"/>
    <col min="6157" max="6401" width="9.140625" style="1"/>
    <col min="6402" max="6402" width="16.42578125" style="1" bestFit="1" customWidth="1"/>
    <col min="6403" max="6403" width="16.85546875" style="1" bestFit="1" customWidth="1"/>
    <col min="6404" max="6410" width="6.7109375" style="1" customWidth="1"/>
    <col min="6411" max="6411" width="8.140625" style="1" customWidth="1"/>
    <col min="6412" max="6412" width="6.7109375" style="1" customWidth="1"/>
    <col min="6413" max="6657" width="9.140625" style="1"/>
    <col min="6658" max="6658" width="16.42578125" style="1" bestFit="1" customWidth="1"/>
    <col min="6659" max="6659" width="16.85546875" style="1" bestFit="1" customWidth="1"/>
    <col min="6660" max="6666" width="6.7109375" style="1" customWidth="1"/>
    <col min="6667" max="6667" width="8.140625" style="1" customWidth="1"/>
    <col min="6668" max="6668" width="6.7109375" style="1" customWidth="1"/>
    <col min="6669" max="6913" width="9.140625" style="1"/>
    <col min="6914" max="6914" width="16.42578125" style="1" bestFit="1" customWidth="1"/>
    <col min="6915" max="6915" width="16.85546875" style="1" bestFit="1" customWidth="1"/>
    <col min="6916" max="6922" width="6.7109375" style="1" customWidth="1"/>
    <col min="6923" max="6923" width="8.140625" style="1" customWidth="1"/>
    <col min="6924" max="6924" width="6.7109375" style="1" customWidth="1"/>
    <col min="6925" max="7169" width="9.140625" style="1"/>
    <col min="7170" max="7170" width="16.42578125" style="1" bestFit="1" customWidth="1"/>
    <col min="7171" max="7171" width="16.85546875" style="1" bestFit="1" customWidth="1"/>
    <col min="7172" max="7178" width="6.7109375" style="1" customWidth="1"/>
    <col min="7179" max="7179" width="8.140625" style="1" customWidth="1"/>
    <col min="7180" max="7180" width="6.7109375" style="1" customWidth="1"/>
    <col min="7181" max="7425" width="9.140625" style="1"/>
    <col min="7426" max="7426" width="16.42578125" style="1" bestFit="1" customWidth="1"/>
    <col min="7427" max="7427" width="16.85546875" style="1" bestFit="1" customWidth="1"/>
    <col min="7428" max="7434" width="6.7109375" style="1" customWidth="1"/>
    <col min="7435" max="7435" width="8.140625" style="1" customWidth="1"/>
    <col min="7436" max="7436" width="6.7109375" style="1" customWidth="1"/>
    <col min="7437" max="7681" width="9.140625" style="1"/>
    <col min="7682" max="7682" width="16.42578125" style="1" bestFit="1" customWidth="1"/>
    <col min="7683" max="7683" width="16.85546875" style="1" bestFit="1" customWidth="1"/>
    <col min="7684" max="7690" width="6.7109375" style="1" customWidth="1"/>
    <col min="7691" max="7691" width="8.140625" style="1" customWidth="1"/>
    <col min="7692" max="7692" width="6.7109375" style="1" customWidth="1"/>
    <col min="7693" max="7937" width="9.140625" style="1"/>
    <col min="7938" max="7938" width="16.42578125" style="1" bestFit="1" customWidth="1"/>
    <col min="7939" max="7939" width="16.85546875" style="1" bestFit="1" customWidth="1"/>
    <col min="7940" max="7946" width="6.7109375" style="1" customWidth="1"/>
    <col min="7947" max="7947" width="8.140625" style="1" customWidth="1"/>
    <col min="7948" max="7948" width="6.7109375" style="1" customWidth="1"/>
    <col min="7949" max="8193" width="9.140625" style="1"/>
    <col min="8194" max="8194" width="16.42578125" style="1" bestFit="1" customWidth="1"/>
    <col min="8195" max="8195" width="16.85546875" style="1" bestFit="1" customWidth="1"/>
    <col min="8196" max="8202" width="6.7109375" style="1" customWidth="1"/>
    <col min="8203" max="8203" width="8.140625" style="1" customWidth="1"/>
    <col min="8204" max="8204" width="6.7109375" style="1" customWidth="1"/>
    <col min="8205" max="8449" width="9.140625" style="1"/>
    <col min="8450" max="8450" width="16.42578125" style="1" bestFit="1" customWidth="1"/>
    <col min="8451" max="8451" width="16.85546875" style="1" bestFit="1" customWidth="1"/>
    <col min="8452" max="8458" width="6.7109375" style="1" customWidth="1"/>
    <col min="8459" max="8459" width="8.140625" style="1" customWidth="1"/>
    <col min="8460" max="8460" width="6.7109375" style="1" customWidth="1"/>
    <col min="8461" max="8705" width="9.140625" style="1"/>
    <col min="8706" max="8706" width="16.42578125" style="1" bestFit="1" customWidth="1"/>
    <col min="8707" max="8707" width="16.85546875" style="1" bestFit="1" customWidth="1"/>
    <col min="8708" max="8714" width="6.7109375" style="1" customWidth="1"/>
    <col min="8715" max="8715" width="8.140625" style="1" customWidth="1"/>
    <col min="8716" max="8716" width="6.7109375" style="1" customWidth="1"/>
    <col min="8717" max="8961" width="9.140625" style="1"/>
    <col min="8962" max="8962" width="16.42578125" style="1" bestFit="1" customWidth="1"/>
    <col min="8963" max="8963" width="16.85546875" style="1" bestFit="1" customWidth="1"/>
    <col min="8964" max="8970" width="6.7109375" style="1" customWidth="1"/>
    <col min="8971" max="8971" width="8.140625" style="1" customWidth="1"/>
    <col min="8972" max="8972" width="6.7109375" style="1" customWidth="1"/>
    <col min="8973" max="9217" width="9.140625" style="1"/>
    <col min="9218" max="9218" width="16.42578125" style="1" bestFit="1" customWidth="1"/>
    <col min="9219" max="9219" width="16.85546875" style="1" bestFit="1" customWidth="1"/>
    <col min="9220" max="9226" width="6.7109375" style="1" customWidth="1"/>
    <col min="9227" max="9227" width="8.140625" style="1" customWidth="1"/>
    <col min="9228" max="9228" width="6.7109375" style="1" customWidth="1"/>
    <col min="9229" max="9473" width="9.140625" style="1"/>
    <col min="9474" max="9474" width="16.42578125" style="1" bestFit="1" customWidth="1"/>
    <col min="9475" max="9475" width="16.85546875" style="1" bestFit="1" customWidth="1"/>
    <col min="9476" max="9482" width="6.7109375" style="1" customWidth="1"/>
    <col min="9483" max="9483" width="8.140625" style="1" customWidth="1"/>
    <col min="9484" max="9484" width="6.7109375" style="1" customWidth="1"/>
    <col min="9485" max="9729" width="9.140625" style="1"/>
    <col min="9730" max="9730" width="16.42578125" style="1" bestFit="1" customWidth="1"/>
    <col min="9731" max="9731" width="16.85546875" style="1" bestFit="1" customWidth="1"/>
    <col min="9732" max="9738" width="6.7109375" style="1" customWidth="1"/>
    <col min="9739" max="9739" width="8.140625" style="1" customWidth="1"/>
    <col min="9740" max="9740" width="6.7109375" style="1" customWidth="1"/>
    <col min="9741" max="9985" width="9.140625" style="1"/>
    <col min="9986" max="9986" width="16.42578125" style="1" bestFit="1" customWidth="1"/>
    <col min="9987" max="9987" width="16.85546875" style="1" bestFit="1" customWidth="1"/>
    <col min="9988" max="9994" width="6.7109375" style="1" customWidth="1"/>
    <col min="9995" max="9995" width="8.140625" style="1" customWidth="1"/>
    <col min="9996" max="9996" width="6.7109375" style="1" customWidth="1"/>
    <col min="9997" max="10241" width="9.140625" style="1"/>
    <col min="10242" max="10242" width="16.42578125" style="1" bestFit="1" customWidth="1"/>
    <col min="10243" max="10243" width="16.85546875" style="1" bestFit="1" customWidth="1"/>
    <col min="10244" max="10250" width="6.7109375" style="1" customWidth="1"/>
    <col min="10251" max="10251" width="8.140625" style="1" customWidth="1"/>
    <col min="10252" max="10252" width="6.7109375" style="1" customWidth="1"/>
    <col min="10253" max="10497" width="9.140625" style="1"/>
    <col min="10498" max="10498" width="16.42578125" style="1" bestFit="1" customWidth="1"/>
    <col min="10499" max="10499" width="16.85546875" style="1" bestFit="1" customWidth="1"/>
    <col min="10500" max="10506" width="6.7109375" style="1" customWidth="1"/>
    <col min="10507" max="10507" width="8.140625" style="1" customWidth="1"/>
    <col min="10508" max="10508" width="6.7109375" style="1" customWidth="1"/>
    <col min="10509" max="10753" width="9.140625" style="1"/>
    <col min="10754" max="10754" width="16.42578125" style="1" bestFit="1" customWidth="1"/>
    <col min="10755" max="10755" width="16.85546875" style="1" bestFit="1" customWidth="1"/>
    <col min="10756" max="10762" width="6.7109375" style="1" customWidth="1"/>
    <col min="10763" max="10763" width="8.140625" style="1" customWidth="1"/>
    <col min="10764" max="10764" width="6.7109375" style="1" customWidth="1"/>
    <col min="10765" max="11009" width="9.140625" style="1"/>
    <col min="11010" max="11010" width="16.42578125" style="1" bestFit="1" customWidth="1"/>
    <col min="11011" max="11011" width="16.85546875" style="1" bestFit="1" customWidth="1"/>
    <col min="11012" max="11018" width="6.7109375" style="1" customWidth="1"/>
    <col min="11019" max="11019" width="8.140625" style="1" customWidth="1"/>
    <col min="11020" max="11020" width="6.7109375" style="1" customWidth="1"/>
    <col min="11021" max="11265" width="9.140625" style="1"/>
    <col min="11266" max="11266" width="16.42578125" style="1" bestFit="1" customWidth="1"/>
    <col min="11267" max="11267" width="16.85546875" style="1" bestFit="1" customWidth="1"/>
    <col min="11268" max="11274" width="6.7109375" style="1" customWidth="1"/>
    <col min="11275" max="11275" width="8.140625" style="1" customWidth="1"/>
    <col min="11276" max="11276" width="6.7109375" style="1" customWidth="1"/>
    <col min="11277" max="11521" width="9.140625" style="1"/>
    <col min="11522" max="11522" width="16.42578125" style="1" bestFit="1" customWidth="1"/>
    <col min="11523" max="11523" width="16.85546875" style="1" bestFit="1" customWidth="1"/>
    <col min="11524" max="11530" width="6.7109375" style="1" customWidth="1"/>
    <col min="11531" max="11531" width="8.140625" style="1" customWidth="1"/>
    <col min="11532" max="11532" width="6.7109375" style="1" customWidth="1"/>
    <col min="11533" max="11777" width="9.140625" style="1"/>
    <col min="11778" max="11778" width="16.42578125" style="1" bestFit="1" customWidth="1"/>
    <col min="11779" max="11779" width="16.85546875" style="1" bestFit="1" customWidth="1"/>
    <col min="11780" max="11786" width="6.7109375" style="1" customWidth="1"/>
    <col min="11787" max="11787" width="8.140625" style="1" customWidth="1"/>
    <col min="11788" max="11788" width="6.7109375" style="1" customWidth="1"/>
    <col min="11789" max="12033" width="9.140625" style="1"/>
    <col min="12034" max="12034" width="16.42578125" style="1" bestFit="1" customWidth="1"/>
    <col min="12035" max="12035" width="16.85546875" style="1" bestFit="1" customWidth="1"/>
    <col min="12036" max="12042" width="6.7109375" style="1" customWidth="1"/>
    <col min="12043" max="12043" width="8.140625" style="1" customWidth="1"/>
    <col min="12044" max="12044" width="6.7109375" style="1" customWidth="1"/>
    <col min="12045" max="12289" width="9.140625" style="1"/>
    <col min="12290" max="12290" width="16.42578125" style="1" bestFit="1" customWidth="1"/>
    <col min="12291" max="12291" width="16.85546875" style="1" bestFit="1" customWidth="1"/>
    <col min="12292" max="12298" width="6.7109375" style="1" customWidth="1"/>
    <col min="12299" max="12299" width="8.140625" style="1" customWidth="1"/>
    <col min="12300" max="12300" width="6.7109375" style="1" customWidth="1"/>
    <col min="12301" max="12545" width="9.140625" style="1"/>
    <col min="12546" max="12546" width="16.42578125" style="1" bestFit="1" customWidth="1"/>
    <col min="12547" max="12547" width="16.85546875" style="1" bestFit="1" customWidth="1"/>
    <col min="12548" max="12554" width="6.7109375" style="1" customWidth="1"/>
    <col min="12555" max="12555" width="8.140625" style="1" customWidth="1"/>
    <col min="12556" max="12556" width="6.7109375" style="1" customWidth="1"/>
    <col min="12557" max="12801" width="9.140625" style="1"/>
    <col min="12802" max="12802" width="16.42578125" style="1" bestFit="1" customWidth="1"/>
    <col min="12803" max="12803" width="16.85546875" style="1" bestFit="1" customWidth="1"/>
    <col min="12804" max="12810" width="6.7109375" style="1" customWidth="1"/>
    <col min="12811" max="12811" width="8.140625" style="1" customWidth="1"/>
    <col min="12812" max="12812" width="6.7109375" style="1" customWidth="1"/>
    <col min="12813" max="13057" width="9.140625" style="1"/>
    <col min="13058" max="13058" width="16.42578125" style="1" bestFit="1" customWidth="1"/>
    <col min="13059" max="13059" width="16.85546875" style="1" bestFit="1" customWidth="1"/>
    <col min="13060" max="13066" width="6.7109375" style="1" customWidth="1"/>
    <col min="13067" max="13067" width="8.140625" style="1" customWidth="1"/>
    <col min="13068" max="13068" width="6.7109375" style="1" customWidth="1"/>
    <col min="13069" max="13313" width="9.140625" style="1"/>
    <col min="13314" max="13314" width="16.42578125" style="1" bestFit="1" customWidth="1"/>
    <col min="13315" max="13315" width="16.85546875" style="1" bestFit="1" customWidth="1"/>
    <col min="13316" max="13322" width="6.7109375" style="1" customWidth="1"/>
    <col min="13323" max="13323" width="8.140625" style="1" customWidth="1"/>
    <col min="13324" max="13324" width="6.7109375" style="1" customWidth="1"/>
    <col min="13325" max="13569" width="9.140625" style="1"/>
    <col min="13570" max="13570" width="16.42578125" style="1" bestFit="1" customWidth="1"/>
    <col min="13571" max="13571" width="16.85546875" style="1" bestFit="1" customWidth="1"/>
    <col min="13572" max="13578" width="6.7109375" style="1" customWidth="1"/>
    <col min="13579" max="13579" width="8.140625" style="1" customWidth="1"/>
    <col min="13580" max="13580" width="6.7109375" style="1" customWidth="1"/>
    <col min="13581" max="13825" width="9.140625" style="1"/>
    <col min="13826" max="13826" width="16.42578125" style="1" bestFit="1" customWidth="1"/>
    <col min="13827" max="13827" width="16.85546875" style="1" bestFit="1" customWidth="1"/>
    <col min="13828" max="13834" width="6.7109375" style="1" customWidth="1"/>
    <col min="13835" max="13835" width="8.140625" style="1" customWidth="1"/>
    <col min="13836" max="13836" width="6.7109375" style="1" customWidth="1"/>
    <col min="13837" max="14081" width="9.140625" style="1"/>
    <col min="14082" max="14082" width="16.42578125" style="1" bestFit="1" customWidth="1"/>
    <col min="14083" max="14083" width="16.85546875" style="1" bestFit="1" customWidth="1"/>
    <col min="14084" max="14090" width="6.7109375" style="1" customWidth="1"/>
    <col min="14091" max="14091" width="8.140625" style="1" customWidth="1"/>
    <col min="14092" max="14092" width="6.7109375" style="1" customWidth="1"/>
    <col min="14093" max="14337" width="9.140625" style="1"/>
    <col min="14338" max="14338" width="16.42578125" style="1" bestFit="1" customWidth="1"/>
    <col min="14339" max="14339" width="16.85546875" style="1" bestFit="1" customWidth="1"/>
    <col min="14340" max="14346" width="6.7109375" style="1" customWidth="1"/>
    <col min="14347" max="14347" width="8.140625" style="1" customWidth="1"/>
    <col min="14348" max="14348" width="6.7109375" style="1" customWidth="1"/>
    <col min="14349" max="14593" width="9.140625" style="1"/>
    <col min="14594" max="14594" width="16.42578125" style="1" bestFit="1" customWidth="1"/>
    <col min="14595" max="14595" width="16.85546875" style="1" bestFit="1" customWidth="1"/>
    <col min="14596" max="14602" width="6.7109375" style="1" customWidth="1"/>
    <col min="14603" max="14603" width="8.140625" style="1" customWidth="1"/>
    <col min="14604" max="14604" width="6.7109375" style="1" customWidth="1"/>
    <col min="14605" max="14849" width="9.140625" style="1"/>
    <col min="14850" max="14850" width="16.42578125" style="1" bestFit="1" customWidth="1"/>
    <col min="14851" max="14851" width="16.85546875" style="1" bestFit="1" customWidth="1"/>
    <col min="14852" max="14858" width="6.7109375" style="1" customWidth="1"/>
    <col min="14859" max="14859" width="8.140625" style="1" customWidth="1"/>
    <col min="14860" max="14860" width="6.7109375" style="1" customWidth="1"/>
    <col min="14861" max="15105" width="9.140625" style="1"/>
    <col min="15106" max="15106" width="16.42578125" style="1" bestFit="1" customWidth="1"/>
    <col min="15107" max="15107" width="16.85546875" style="1" bestFit="1" customWidth="1"/>
    <col min="15108" max="15114" width="6.7109375" style="1" customWidth="1"/>
    <col min="15115" max="15115" width="8.140625" style="1" customWidth="1"/>
    <col min="15116" max="15116" width="6.7109375" style="1" customWidth="1"/>
    <col min="15117" max="15361" width="9.140625" style="1"/>
    <col min="15362" max="15362" width="16.42578125" style="1" bestFit="1" customWidth="1"/>
    <col min="15363" max="15363" width="16.85546875" style="1" bestFit="1" customWidth="1"/>
    <col min="15364" max="15370" width="6.7109375" style="1" customWidth="1"/>
    <col min="15371" max="15371" width="8.140625" style="1" customWidth="1"/>
    <col min="15372" max="15372" width="6.7109375" style="1" customWidth="1"/>
    <col min="15373" max="15617" width="9.140625" style="1"/>
    <col min="15618" max="15618" width="16.42578125" style="1" bestFit="1" customWidth="1"/>
    <col min="15619" max="15619" width="16.85546875" style="1" bestFit="1" customWidth="1"/>
    <col min="15620" max="15626" width="6.7109375" style="1" customWidth="1"/>
    <col min="15627" max="15627" width="8.140625" style="1" customWidth="1"/>
    <col min="15628" max="15628" width="6.7109375" style="1" customWidth="1"/>
    <col min="15629" max="15873" width="9.140625" style="1"/>
    <col min="15874" max="15874" width="16.42578125" style="1" bestFit="1" customWidth="1"/>
    <col min="15875" max="15875" width="16.85546875" style="1" bestFit="1" customWidth="1"/>
    <col min="15876" max="15882" width="6.7109375" style="1" customWidth="1"/>
    <col min="15883" max="15883" width="8.140625" style="1" customWidth="1"/>
    <col min="15884" max="15884" width="6.7109375" style="1" customWidth="1"/>
    <col min="15885" max="16129" width="9.140625" style="1"/>
    <col min="16130" max="16130" width="16.42578125" style="1" bestFit="1" customWidth="1"/>
    <col min="16131" max="16131" width="16.85546875" style="1" bestFit="1" customWidth="1"/>
    <col min="16132" max="16138" width="6.7109375" style="1" customWidth="1"/>
    <col min="16139" max="16139" width="8.140625" style="1" customWidth="1"/>
    <col min="16140" max="16140" width="6.7109375" style="1" customWidth="1"/>
    <col min="16141" max="16384" width="9.140625" style="1"/>
  </cols>
  <sheetData>
    <row r="2" spans="1:12" s="82" customFormat="1" x14ac:dyDescent="0.25">
      <c r="A2" s="93" t="s">
        <v>36</v>
      </c>
      <c r="B2" s="94" t="s">
        <v>5</v>
      </c>
      <c r="C2" s="95" t="s">
        <v>37</v>
      </c>
      <c r="D2" s="96" t="s">
        <v>7</v>
      </c>
      <c r="E2" s="96" t="s">
        <v>8</v>
      </c>
      <c r="F2" s="96" t="s">
        <v>9</v>
      </c>
      <c r="G2" s="96" t="s">
        <v>10</v>
      </c>
      <c r="H2" s="96" t="s">
        <v>11</v>
      </c>
      <c r="I2" s="96" t="s">
        <v>12</v>
      </c>
      <c r="J2" s="97" t="s">
        <v>13</v>
      </c>
      <c r="K2" s="98" t="s">
        <v>38</v>
      </c>
      <c r="L2" s="99" t="s">
        <v>39</v>
      </c>
    </row>
    <row r="3" spans="1:12" x14ac:dyDescent="0.25">
      <c r="A3" s="91" t="str">
        <f ca="1">IF($D3=0,"",IF(COUNTIF(TablaJuegos!$M$72:$M$87,$B3),IF(INDEX(TablaJuegos!$L$72:$L$87,MATCH($B3,TablaJuegos!$M$72:$M$87,0))="","",(INDEX(TablaJuegos!$L$72:$L$87,MATCH($B3,TablaJuegos!$M$72:$M$87,0)))),(IF(LEFT(C3,1)&lt;&gt;"P","",(SUMPRODUCT((((LOOKUP(LEFT(C3,1),{"C",1000;"F",8000;"O",500;"P",100;"S",3000}))*10000+100*D3*E3+30*H3-20*I3+J3)&lt;(10000*((LOOKUP(LEFT(C$3:C$34,1),{"C",1000;"F",8000;"O",500;"P",100;"S",3000})))+100*(D$3:D$34)*(E$3:E$34)+30*(H$3:H$34)-20*(I$3:I$34)+(J$3:J$34)))+0)+1)))))</f>
        <v/>
      </c>
      <c r="B3" s="83" t="s">
        <v>76</v>
      </c>
      <c r="C3" s="30" t="str">
        <f ca="1">IF(COUNTIF(TablaJuegos!$M$111:$M$112,$B3)=1,"Final",IF(COUNTIF(TablaJuegos!$M$100:$M$103,$B3)=1,"SemiFinal",IF(COUNTIF(TablaJuegos!$M$90:$M$97,$B3)=1,"Cuartos de Final",IF(COUNTIF(TablaJuegos!$M$72:$M$87,$B3)=1,"Octavos de Final","Primera Ronda"))))</f>
        <v>Primera Ronda</v>
      </c>
      <c r="D3" s="84">
        <f ca="1">SUMIF(TablaJuegos!$M$9:$M$112,$B3,TablaJuegos!O$9:O$112)</f>
        <v>0</v>
      </c>
      <c r="E3" s="84">
        <f ca="1">SUMIF(TablaJuegos!$M$9:$M$112,$B3,TablaJuegos!P$9:P$112)</f>
        <v>0</v>
      </c>
      <c r="F3" s="84">
        <f ca="1">SUMIF(TablaJuegos!$M$9:$M$112,$B3,TablaJuegos!Q$9:Q$112)</f>
        <v>0</v>
      </c>
      <c r="G3" s="84">
        <f ca="1">SUMIF(TablaJuegos!$M$9:$M$112,$B3,TablaJuegos!R$9:R$112)</f>
        <v>0</v>
      </c>
      <c r="H3" s="84">
        <f ca="1">SUMIF(TablaJuegos!$M$9:$M$112,$B3,TablaJuegos!S$9:S$112)</f>
        <v>0</v>
      </c>
      <c r="I3" s="84">
        <f ca="1">SUMIF(TablaJuegos!$M$9:$M$112,$B3,TablaJuegos!T$9:T$112)</f>
        <v>0</v>
      </c>
      <c r="J3" s="85">
        <f ca="1">SUMIF(TablaJuegos!$M$9:$M$112,$B3,TablaJuegos!U$9:U$112)</f>
        <v>0</v>
      </c>
      <c r="K3" s="86">
        <f ca="1">IF($D3=0,0,H3/$D3)</f>
        <v>0</v>
      </c>
      <c r="L3" s="92">
        <f ca="1">IF($D3=0,0,I3/$D3)</f>
        <v>0</v>
      </c>
    </row>
    <row r="4" spans="1:12" x14ac:dyDescent="0.25">
      <c r="A4" s="91" t="str">
        <f ca="1">IF($D4=0,"",IF(COUNTIF(TablaJuegos!$M$72:$M$87,$B4),IF(INDEX(TablaJuegos!$L$72:$L$87,MATCH($B4,TablaJuegos!$M$72:$M$87,0))="","",(INDEX(TablaJuegos!$L$72:$L$87,MATCH($B4,TablaJuegos!$M$72:$M$87,0)))),(IF(LEFT(C4,1)&lt;&gt;"P","",(SUMPRODUCT((((LOOKUP(LEFT(C4,1),{"C",1000;"F",8000;"O",500;"P",100;"S",3000}))*10000+100*D4*E4+30*H4-20*I4+J4)&lt;(10000*((LOOKUP(LEFT(C$3:C$34,1),{"C",1000;"F",8000;"O",500;"P",100;"S",3000})))+100*(D$3:D$34)*(E$3:E$34)+30*(H$3:H$34)-20*(I$3:I$34)+(J$3:J$34)))+0)+1)))))</f>
        <v/>
      </c>
      <c r="B4" s="83" t="s">
        <v>51</v>
      </c>
      <c r="C4" s="30" t="str">
        <f ca="1">IF(COUNTIF(TablaJuegos!$M$111:$M$112,$B4)=1,"Final",IF(COUNTIF(TablaJuegos!$M$100:$M$103,$B4)=1,"SemiFinal",IF(COUNTIF(TablaJuegos!$M$90:$M$97,$B4)=1,"Cuartos de Final",IF(COUNTIF(TablaJuegos!$M$72:$M$87,$B4)=1,"Octavos de Final","Primera Ronda"))))</f>
        <v>Primera Ronda</v>
      </c>
      <c r="D4" s="84">
        <f ca="1">SUMIF(TablaJuegos!$M$9:$M$112,$B4,TablaJuegos!O$9:O$112)</f>
        <v>0</v>
      </c>
      <c r="E4" s="84">
        <f ca="1">SUMIF(TablaJuegos!$M$9:$M$112,$B4,TablaJuegos!P$9:P$112)</f>
        <v>0</v>
      </c>
      <c r="F4" s="84">
        <f ca="1">SUMIF(TablaJuegos!$M$9:$M$112,$B4,TablaJuegos!Q$9:Q$112)</f>
        <v>0</v>
      </c>
      <c r="G4" s="84">
        <f ca="1">SUMIF(TablaJuegos!$M$9:$M$112,$B4,TablaJuegos!R$9:R$112)</f>
        <v>0</v>
      </c>
      <c r="H4" s="84">
        <f ca="1">SUMIF(TablaJuegos!$M$9:$M$112,$B4,TablaJuegos!S$9:S$112)</f>
        <v>0</v>
      </c>
      <c r="I4" s="84">
        <f ca="1">SUMIF(TablaJuegos!$M$9:$M$112,$B4,TablaJuegos!T$9:T$112)</f>
        <v>0</v>
      </c>
      <c r="J4" s="85">
        <f ca="1">SUMIF(TablaJuegos!$M$9:$M$112,$B4,TablaJuegos!U$9:U$112)</f>
        <v>0</v>
      </c>
      <c r="K4" s="86">
        <f ca="1">IF($D4=0,0,H4/$D4)</f>
        <v>0</v>
      </c>
      <c r="L4" s="92">
        <f ca="1">IF($D4=0,0,I4/$D4)</f>
        <v>0</v>
      </c>
    </row>
    <row r="5" spans="1:12" x14ac:dyDescent="0.25">
      <c r="A5" s="91" t="str">
        <f ca="1">IF($D5=0,"",IF(COUNTIF(TablaJuegos!$M$72:$M$87,$B5),IF(INDEX(TablaJuegos!$L$72:$L$87,MATCH($B5,TablaJuegos!$M$72:$M$87,0))="","",(INDEX(TablaJuegos!$L$72:$L$87,MATCH($B5,TablaJuegos!$M$72:$M$87,0)))),(IF(LEFT(C5,1)&lt;&gt;"P","",(SUMPRODUCT((((LOOKUP(LEFT(C5,1),{"C",1000;"F",8000;"O",500;"P",100;"S",3000}))*10000+100*D5*E5+30*H5-20*I5+J5)&lt;(10000*((LOOKUP(LEFT(C$3:C$34,1),{"C",1000;"F",8000;"O",500;"P",100;"S",3000})))+100*(D$3:D$34)*(E$3:E$34)+30*(H$3:H$34)-20*(I$3:I$34)+(J$3:J$34)))+0)+1)))))</f>
        <v/>
      </c>
      <c r="B5" s="83" t="s">
        <v>44</v>
      </c>
      <c r="C5" s="30" t="str">
        <f ca="1">IF(COUNTIF(TablaJuegos!$M$111:$M$112,$B5)=1,"Final",IF(COUNTIF(TablaJuegos!$M$100:$M$103,$B5)=1,"SemiFinal",IF(COUNTIF(TablaJuegos!$M$90:$M$97,$B5)=1,"Cuartos de Final",IF(COUNTIF(TablaJuegos!$M$72:$M$87,$B5)=1,"Octavos de Final","Primera Ronda"))))</f>
        <v>Primera Ronda</v>
      </c>
      <c r="D5" s="84">
        <f ca="1">SUMIF(TablaJuegos!$M$9:$M$112,$B5,TablaJuegos!O$9:O$112)</f>
        <v>0</v>
      </c>
      <c r="E5" s="84">
        <f ca="1">SUMIF(TablaJuegos!$M$9:$M$112,$B5,TablaJuegos!P$9:P$112)</f>
        <v>0</v>
      </c>
      <c r="F5" s="84">
        <f ca="1">SUMIF(TablaJuegos!$M$9:$M$112,$B5,TablaJuegos!Q$9:Q$112)</f>
        <v>0</v>
      </c>
      <c r="G5" s="84">
        <f ca="1">SUMIF(TablaJuegos!$M$9:$M$112,$B5,TablaJuegos!R$9:R$112)</f>
        <v>0</v>
      </c>
      <c r="H5" s="84">
        <f ca="1">SUMIF(TablaJuegos!$M$9:$M$112,$B5,TablaJuegos!S$9:S$112)</f>
        <v>0</v>
      </c>
      <c r="I5" s="84">
        <f ca="1">SUMIF(TablaJuegos!$M$9:$M$112,$B5,TablaJuegos!T$9:T$112)</f>
        <v>0</v>
      </c>
      <c r="J5" s="85">
        <f ca="1">SUMIF(TablaJuegos!$M$9:$M$112,$B5,TablaJuegos!U$9:U$112)</f>
        <v>0</v>
      </c>
      <c r="K5" s="86">
        <f ca="1">IF($D5=0,0,H5/$D5)</f>
        <v>0</v>
      </c>
      <c r="L5" s="92">
        <f ca="1">IF($D5=0,0,I5/$D5)</f>
        <v>0</v>
      </c>
    </row>
    <row r="6" spans="1:12" x14ac:dyDescent="0.25">
      <c r="A6" s="91" t="str">
        <f ca="1">IF($D6=0,"",IF(COUNTIF(TablaJuegos!$M$72:$M$87,$B6),IF(INDEX(TablaJuegos!$L$72:$L$87,MATCH($B6,TablaJuegos!$M$72:$M$87,0))="","",(INDEX(TablaJuegos!$L$72:$L$87,MATCH($B6,TablaJuegos!$M$72:$M$87,0)))),(IF(LEFT(C6,1)&lt;&gt;"P","",(SUMPRODUCT((((LOOKUP(LEFT(C6,1),{"C",1000;"F",8000;"O",500;"P",100;"S",3000}))*10000+100*D6*E6+30*H6-20*I6+J6)&lt;(10000*((LOOKUP(LEFT(C$3:C$34,1),{"C",1000;"F",8000;"O",500;"P",100;"S",3000})))+100*(D$3:D$34)*(E$3:E$34)+30*(H$3:H$34)-20*(I$3:I$34)+(J$3:J$34)))+0)+1)))))</f>
        <v/>
      </c>
      <c r="B6" s="83" t="s">
        <v>20</v>
      </c>
      <c r="C6" s="30" t="str">
        <f ca="1">IF(COUNTIF(TablaJuegos!$M$111:$M$112,$B6)=1,"Final",IF(COUNTIF(TablaJuegos!$M$100:$M$103,$B6)=1,"SemiFinal",IF(COUNTIF(TablaJuegos!$M$90:$M$97,$B6)=1,"Cuartos de Final",IF(COUNTIF(TablaJuegos!$M$72:$M$87,$B6)=1,"Octavos de Final","Primera Ronda"))))</f>
        <v>Primera Ronda</v>
      </c>
      <c r="D6" s="84">
        <f ca="1">SUMIF(TablaJuegos!$M$9:$M$112,$B6,TablaJuegos!O$9:O$112)</f>
        <v>0</v>
      </c>
      <c r="E6" s="84">
        <f ca="1">SUMIF(TablaJuegos!$M$9:$M$112,$B6,TablaJuegos!P$9:P$112)</f>
        <v>0</v>
      </c>
      <c r="F6" s="84">
        <f ca="1">SUMIF(TablaJuegos!$M$9:$M$112,$B6,TablaJuegos!Q$9:Q$112)</f>
        <v>0</v>
      </c>
      <c r="G6" s="84">
        <f ca="1">SUMIF(TablaJuegos!$M$9:$M$112,$B6,TablaJuegos!R$9:R$112)</f>
        <v>0</v>
      </c>
      <c r="H6" s="84">
        <f ca="1">SUMIF(TablaJuegos!$M$9:$M$112,$B6,TablaJuegos!S$9:S$112)</f>
        <v>0</v>
      </c>
      <c r="I6" s="84">
        <f ca="1">SUMIF(TablaJuegos!$M$9:$M$112,$B6,TablaJuegos!T$9:T$112)</f>
        <v>0</v>
      </c>
      <c r="J6" s="85">
        <f ca="1">SUMIF(TablaJuegos!$M$9:$M$112,$B6,TablaJuegos!U$9:U$112)</f>
        <v>0</v>
      </c>
      <c r="K6" s="86">
        <f ca="1">IF($D6=0,0,H6/$D6)</f>
        <v>0</v>
      </c>
      <c r="L6" s="92">
        <f ca="1">IF($D6=0,0,I6/$D6)</f>
        <v>0</v>
      </c>
    </row>
    <row r="7" spans="1:12" x14ac:dyDescent="0.25">
      <c r="A7" s="91" t="str">
        <f ca="1">IF($D7=0,"",IF(COUNTIF(TablaJuegos!$M$72:$M$87,$B7),IF(INDEX(TablaJuegos!$L$72:$L$87,MATCH($B7,TablaJuegos!$M$72:$M$87,0))="","",(INDEX(TablaJuegos!$L$72:$L$87,MATCH($B7,TablaJuegos!$M$72:$M$87,0)))),(IF(LEFT(C7,1)&lt;&gt;"P","",(SUMPRODUCT((((LOOKUP(LEFT(C7,1),{"C",1000;"F",8000;"O",500;"P",100;"S",3000}))*10000+100*D7*E7+30*H7-20*I7+J7)&lt;(10000*((LOOKUP(LEFT(C$3:C$34,1),{"C",1000;"F",8000;"O",500;"P",100;"S",3000})))+100*(D$3:D$34)*(E$3:E$34)+30*(H$3:H$34)-20*(I$3:I$34)+(J$3:J$34)))+0)+1)))))</f>
        <v/>
      </c>
      <c r="B7" s="83" t="s">
        <v>60</v>
      </c>
      <c r="C7" s="30" t="str">
        <f ca="1">IF(COUNTIF(TablaJuegos!$M$111:$M$112,$B7)=1,"Final",IF(COUNTIF(TablaJuegos!$M$100:$M$103,$B7)=1,"SemiFinal",IF(COUNTIF(TablaJuegos!$M$90:$M$97,$B7)=1,"Cuartos de Final",IF(COUNTIF(TablaJuegos!$M$72:$M$87,$B7)=1,"Octavos de Final","Primera Ronda"))))</f>
        <v>Primera Ronda</v>
      </c>
      <c r="D7" s="84">
        <f ca="1">SUMIF(TablaJuegos!$M$9:$M$112,$B7,TablaJuegos!O$9:O$112)</f>
        <v>0</v>
      </c>
      <c r="E7" s="84">
        <f ca="1">SUMIF(TablaJuegos!$M$9:$M$112,$B7,TablaJuegos!P$9:P$112)</f>
        <v>0</v>
      </c>
      <c r="F7" s="84">
        <f ca="1">SUMIF(TablaJuegos!$M$9:$M$112,$B7,TablaJuegos!Q$9:Q$112)</f>
        <v>0</v>
      </c>
      <c r="G7" s="84">
        <f ca="1">SUMIF(TablaJuegos!$M$9:$M$112,$B7,TablaJuegos!R$9:R$112)</f>
        <v>0</v>
      </c>
      <c r="H7" s="84">
        <f ca="1">SUMIF(TablaJuegos!$M$9:$M$112,$B7,TablaJuegos!S$9:S$112)</f>
        <v>0</v>
      </c>
      <c r="I7" s="84">
        <f ca="1">SUMIF(TablaJuegos!$M$9:$M$112,$B7,TablaJuegos!T$9:T$112)</f>
        <v>0</v>
      </c>
      <c r="J7" s="85">
        <f ca="1">SUMIF(TablaJuegos!$M$9:$M$112,$B7,TablaJuegos!U$9:U$112)</f>
        <v>0</v>
      </c>
      <c r="K7" s="86">
        <f ca="1">IF($D7=0,0,H7/$D7)</f>
        <v>0</v>
      </c>
      <c r="L7" s="92">
        <f ca="1">IF($D7=0,0,I7/$D7)</f>
        <v>0</v>
      </c>
    </row>
    <row r="8" spans="1:12" x14ac:dyDescent="0.25">
      <c r="A8" s="91" t="str">
        <f ca="1">IF($D8=0,"",IF(COUNTIF(TablaJuegos!$M$72:$M$87,$B8),IF(INDEX(TablaJuegos!$L$72:$L$87,MATCH($B8,TablaJuegos!$M$72:$M$87,0))="","",(INDEX(TablaJuegos!$L$72:$L$87,MATCH($B8,TablaJuegos!$M$72:$M$87,0)))),(IF(LEFT(C8,1)&lt;&gt;"P","",(SUMPRODUCT((((LOOKUP(LEFT(C8,1),{"C",1000;"F",8000;"O",500;"P",100;"S",3000}))*10000+100*D8*E8+30*H8-20*I8+J8)&lt;(10000*((LOOKUP(LEFT(C$3:C$34,1),{"C",1000;"F",8000;"O",500;"P",100;"S",3000})))+100*(D$3:D$34)*(E$3:E$34)+30*(H$3:H$34)-20*(I$3:I$34)+(J$3:J$34)))+0)+1)))))</f>
        <v/>
      </c>
      <c r="B8" s="83" t="s">
        <v>61</v>
      </c>
      <c r="C8" s="30" t="str">
        <f ca="1">IF(COUNTIF(TablaJuegos!$M$111:$M$112,$B8)=1,"Final",IF(COUNTIF(TablaJuegos!$M$100:$M$103,$B8)=1,"SemiFinal",IF(COUNTIF(TablaJuegos!$M$90:$M$97,$B8)=1,"Cuartos de Final",IF(COUNTIF(TablaJuegos!$M$72:$M$87,$B8)=1,"Octavos de Final","Primera Ronda"))))</f>
        <v>Primera Ronda</v>
      </c>
      <c r="D8" s="84">
        <f ca="1">SUMIF(TablaJuegos!$M$9:$M$112,$B8,TablaJuegos!O$9:O$112)</f>
        <v>0</v>
      </c>
      <c r="E8" s="84">
        <f ca="1">SUMIF(TablaJuegos!$M$9:$M$112,$B8,TablaJuegos!P$9:P$112)</f>
        <v>0</v>
      </c>
      <c r="F8" s="84">
        <f ca="1">SUMIF(TablaJuegos!$M$9:$M$112,$B8,TablaJuegos!Q$9:Q$112)</f>
        <v>0</v>
      </c>
      <c r="G8" s="84">
        <f ca="1">SUMIF(TablaJuegos!$M$9:$M$112,$B8,TablaJuegos!R$9:R$112)</f>
        <v>0</v>
      </c>
      <c r="H8" s="84">
        <f ca="1">SUMIF(TablaJuegos!$M$9:$M$112,$B8,TablaJuegos!S$9:S$112)</f>
        <v>0</v>
      </c>
      <c r="I8" s="84">
        <f ca="1">SUMIF(TablaJuegos!$M$9:$M$112,$B8,TablaJuegos!T$9:T$112)</f>
        <v>0</v>
      </c>
      <c r="J8" s="85">
        <f ca="1">SUMIF(TablaJuegos!$M$9:$M$112,$B8,TablaJuegos!U$9:U$112)</f>
        <v>0</v>
      </c>
      <c r="K8" s="86">
        <f ca="1">IF($D8=0,0,H8/$D8)</f>
        <v>0</v>
      </c>
      <c r="L8" s="92">
        <f ca="1">IF($D8=0,0,I8/$D8)</f>
        <v>0</v>
      </c>
    </row>
    <row r="9" spans="1:12" x14ac:dyDescent="0.25">
      <c r="A9" s="91" t="str">
        <f ca="1">IF($D9=0,"",IF(COUNTIF(TablaJuegos!$M$72:$M$87,$B9),IF(INDEX(TablaJuegos!$L$72:$L$87,MATCH($B9,TablaJuegos!$M$72:$M$87,0))="","",(INDEX(TablaJuegos!$L$72:$L$87,MATCH($B9,TablaJuegos!$M$72:$M$87,0)))),(IF(LEFT(C9,1)&lt;&gt;"P","",(SUMPRODUCT((((LOOKUP(LEFT(C9,1),{"C",1000;"F",8000;"O",500;"P",100;"S",3000}))*10000+100*D9*E9+30*H9-20*I9+J9)&lt;(10000*((LOOKUP(LEFT(C$3:C$34,1),{"C",1000;"F",8000;"O",500;"P",100;"S",3000})))+100*(D$3:D$34)*(E$3:E$34)+30*(H$3:H$34)-20*(I$3:I$34)+(J$3:J$34)))+0)+1)))))</f>
        <v/>
      </c>
      <c r="B9" s="83" t="s">
        <v>46</v>
      </c>
      <c r="C9" s="30" t="str">
        <f ca="1">IF(COUNTIF(TablaJuegos!$M$111:$M$112,$B9)=1,"Final",IF(COUNTIF(TablaJuegos!$M$100:$M$103,$B9)=1,"SemiFinal",IF(COUNTIF(TablaJuegos!$M$90:$M$97,$B9)=1,"Cuartos de Final",IF(COUNTIF(TablaJuegos!$M$72:$M$87,$B9)=1,"Octavos de Final","Primera Ronda"))))</f>
        <v>Primera Ronda</v>
      </c>
      <c r="D9" s="84">
        <f ca="1">SUMIF(TablaJuegos!$M$9:$M$112,$B9,TablaJuegos!O$9:O$112)</f>
        <v>0</v>
      </c>
      <c r="E9" s="84">
        <f ca="1">SUMIF(TablaJuegos!$M$9:$M$112,$B9,TablaJuegos!P$9:P$112)</f>
        <v>0</v>
      </c>
      <c r="F9" s="84">
        <f ca="1">SUMIF(TablaJuegos!$M$9:$M$112,$B9,TablaJuegos!Q$9:Q$112)</f>
        <v>0</v>
      </c>
      <c r="G9" s="84">
        <f ca="1">SUMIF(TablaJuegos!$M$9:$M$112,$B9,TablaJuegos!R$9:R$112)</f>
        <v>0</v>
      </c>
      <c r="H9" s="84">
        <f ca="1">SUMIF(TablaJuegos!$M$9:$M$112,$B9,TablaJuegos!S$9:S$112)</f>
        <v>0</v>
      </c>
      <c r="I9" s="84">
        <f ca="1">SUMIF(TablaJuegos!$M$9:$M$112,$B9,TablaJuegos!T$9:T$112)</f>
        <v>0</v>
      </c>
      <c r="J9" s="85">
        <f ca="1">SUMIF(TablaJuegos!$M$9:$M$112,$B9,TablaJuegos!U$9:U$112)</f>
        <v>0</v>
      </c>
      <c r="K9" s="86">
        <f ca="1">IF($D9=0,0,H9/$D9)</f>
        <v>0</v>
      </c>
      <c r="L9" s="92">
        <f ca="1">IF($D9=0,0,I9/$D9)</f>
        <v>0</v>
      </c>
    </row>
    <row r="10" spans="1:12" x14ac:dyDescent="0.25">
      <c r="A10" s="91" t="str">
        <f ca="1">IF($D10=0,"",IF(COUNTIF(TablaJuegos!$M$72:$M$87,$B10),IF(INDEX(TablaJuegos!$L$72:$L$87,MATCH($B10,TablaJuegos!$M$72:$M$87,0))="","",(INDEX(TablaJuegos!$L$72:$L$87,MATCH($B10,TablaJuegos!$M$72:$M$87,0)))),(IF(LEFT(C10,1)&lt;&gt;"P","",(SUMPRODUCT((((LOOKUP(LEFT(C10,1),{"C",1000;"F",8000;"O",500;"P",100;"S",3000}))*10000+100*D10*E10+30*H10-20*I10+J10)&lt;(10000*((LOOKUP(LEFT(C$3:C$34,1),{"C",1000;"F",8000;"O",500;"P",100;"S",3000})))+100*(D$3:D$34)*(E$3:E$34)+30*(H$3:H$34)-20*(I$3:I$34)+(J$3:J$34)))+0)+1)))))</f>
        <v/>
      </c>
      <c r="B10" s="83" t="s">
        <v>74</v>
      </c>
      <c r="C10" s="30" t="str">
        <f ca="1">IF(COUNTIF(TablaJuegos!$M$111:$M$112,$B10)=1,"Final",IF(COUNTIF(TablaJuegos!$M$100:$M$103,$B10)=1,"SemiFinal",IF(COUNTIF(TablaJuegos!$M$90:$M$97,$B10)=1,"Cuartos de Final",IF(COUNTIF(TablaJuegos!$M$72:$M$87,$B10)=1,"Octavos de Final","Primera Ronda"))))</f>
        <v>Primera Ronda</v>
      </c>
      <c r="D10" s="84">
        <f ca="1">SUMIF(TablaJuegos!$M$9:$M$112,$B10,TablaJuegos!O$9:O$112)</f>
        <v>0</v>
      </c>
      <c r="E10" s="84">
        <f ca="1">SUMIF(TablaJuegos!$M$9:$M$112,$B10,TablaJuegos!P$9:P$112)</f>
        <v>0</v>
      </c>
      <c r="F10" s="84">
        <f ca="1">SUMIF(TablaJuegos!$M$9:$M$112,$B10,TablaJuegos!Q$9:Q$112)</f>
        <v>0</v>
      </c>
      <c r="G10" s="84">
        <f ca="1">SUMIF(TablaJuegos!$M$9:$M$112,$B10,TablaJuegos!R$9:R$112)</f>
        <v>0</v>
      </c>
      <c r="H10" s="84">
        <f ca="1">SUMIF(TablaJuegos!$M$9:$M$112,$B10,TablaJuegos!S$9:S$112)</f>
        <v>0</v>
      </c>
      <c r="I10" s="84">
        <f ca="1">SUMIF(TablaJuegos!$M$9:$M$112,$B10,TablaJuegos!T$9:T$112)</f>
        <v>0</v>
      </c>
      <c r="J10" s="85">
        <f ca="1">SUMIF(TablaJuegos!$M$9:$M$112,$B10,TablaJuegos!U$9:U$112)</f>
        <v>0</v>
      </c>
      <c r="K10" s="86">
        <f ca="1">IF($D10=0,0,H10/$D10)</f>
        <v>0</v>
      </c>
      <c r="L10" s="92">
        <f ca="1">IF($D10=0,0,I10/$D10)</f>
        <v>0</v>
      </c>
    </row>
    <row r="11" spans="1:12" x14ac:dyDescent="0.25">
      <c r="A11" s="91" t="str">
        <f ca="1">IF($D11=0,"",IF(COUNTIF(TablaJuegos!$M$72:$M$87,$B11),IF(INDEX(TablaJuegos!$L$72:$L$87,MATCH($B11,TablaJuegos!$M$72:$M$87,0))="","",(INDEX(TablaJuegos!$L$72:$L$87,MATCH($B11,TablaJuegos!$M$72:$M$87,0)))),(IF(LEFT(C11,1)&lt;&gt;"P","",(SUMPRODUCT((((LOOKUP(LEFT(C11,1),{"C",1000;"F",8000;"O",500;"P",100;"S",3000}))*10000+100*D11*E11+30*H11-20*I11+J11)&lt;(10000*((LOOKUP(LEFT(C$3:C$34,1),{"C",1000;"F",8000;"O",500;"P",100;"S",3000})))+100*(D$3:D$34)*(E$3:E$34)+30*(H$3:H$34)-20*(I$3:I$34)+(J$3:J$34)))+0)+1)))))</f>
        <v/>
      </c>
      <c r="B11" s="83" t="s">
        <v>26</v>
      </c>
      <c r="C11" s="30" t="str">
        <f ca="1">IF(COUNTIF(TablaJuegos!$M$111:$M$112,$B11)=1,"Final",IF(COUNTIF(TablaJuegos!$M$100:$M$103,$B11)=1,"SemiFinal",IF(COUNTIF(TablaJuegos!$M$90:$M$97,$B11)=1,"Cuartos de Final",IF(COUNTIF(TablaJuegos!$M$72:$M$87,$B11)=1,"Octavos de Final","Primera Ronda"))))</f>
        <v>Primera Ronda</v>
      </c>
      <c r="D11" s="84">
        <f ca="1">SUMIF(TablaJuegos!$M$9:$M$112,$B11,TablaJuegos!O$9:O$112)</f>
        <v>0</v>
      </c>
      <c r="E11" s="84">
        <f ca="1">SUMIF(TablaJuegos!$M$9:$M$112,$B11,TablaJuegos!P$9:P$112)</f>
        <v>0</v>
      </c>
      <c r="F11" s="84">
        <f ca="1">SUMIF(TablaJuegos!$M$9:$M$112,$B11,TablaJuegos!Q$9:Q$112)</f>
        <v>0</v>
      </c>
      <c r="G11" s="84">
        <f ca="1">SUMIF(TablaJuegos!$M$9:$M$112,$B11,TablaJuegos!R$9:R$112)</f>
        <v>0</v>
      </c>
      <c r="H11" s="84">
        <f ca="1">SUMIF(TablaJuegos!$M$9:$M$112,$B11,TablaJuegos!S$9:S$112)</f>
        <v>0</v>
      </c>
      <c r="I11" s="84">
        <f ca="1">SUMIF(TablaJuegos!$M$9:$M$112,$B11,TablaJuegos!T$9:T$112)</f>
        <v>0</v>
      </c>
      <c r="J11" s="85">
        <f ca="1">SUMIF(TablaJuegos!$M$9:$M$112,$B11,TablaJuegos!U$9:U$112)</f>
        <v>0</v>
      </c>
      <c r="K11" s="86">
        <f ca="1">IF($D11=0,0,H11/$D11)</f>
        <v>0</v>
      </c>
      <c r="L11" s="92">
        <f ca="1">IF($D11=0,0,I11/$D11)</f>
        <v>0</v>
      </c>
    </row>
    <row r="12" spans="1:12" x14ac:dyDescent="0.25">
      <c r="A12" s="91" t="str">
        <f ca="1">IF($D12=0,"",IF(COUNTIF(TablaJuegos!$M$72:$M$87,$B12),IF(INDEX(TablaJuegos!$L$72:$L$87,MATCH($B12,TablaJuegos!$M$72:$M$87,0))="","",(INDEX(TablaJuegos!$L$72:$L$87,MATCH($B12,TablaJuegos!$M$72:$M$87,0)))),(IF(LEFT(C12,1)&lt;&gt;"P","",(SUMPRODUCT((((LOOKUP(LEFT(C12,1),{"C",1000;"F",8000;"O",500;"P",100;"S",3000}))*10000+100*D12*E12+30*H12-20*I12+J12)&lt;(10000*((LOOKUP(LEFT(C$3:C$34,1),{"C",1000;"F",8000;"O",500;"P",100;"S",3000})))+100*(D$3:D$34)*(E$3:E$34)+30*(H$3:H$34)-20*(I$3:I$34)+(J$3:J$34)))+0)+1)))))</f>
        <v/>
      </c>
      <c r="B12" s="83" t="s">
        <v>54</v>
      </c>
      <c r="C12" s="30" t="str">
        <f ca="1">IF(COUNTIF(TablaJuegos!$M$111:$M$112,$B12)=1,"Final",IF(COUNTIF(TablaJuegos!$M$100:$M$103,$B12)=1,"SemiFinal",IF(COUNTIF(TablaJuegos!$M$90:$M$97,$B12)=1,"Cuartos de Final",IF(COUNTIF(TablaJuegos!$M$72:$M$87,$B12)=1,"Octavos de Final","Primera Ronda"))))</f>
        <v>Primera Ronda</v>
      </c>
      <c r="D12" s="84">
        <f ca="1">SUMIF(TablaJuegos!$M$9:$M$112,$B12,TablaJuegos!O$9:O$112)</f>
        <v>0</v>
      </c>
      <c r="E12" s="84">
        <f ca="1">SUMIF(TablaJuegos!$M$9:$M$112,$B12,TablaJuegos!P$9:P$112)</f>
        <v>0</v>
      </c>
      <c r="F12" s="84">
        <f ca="1">SUMIF(TablaJuegos!$M$9:$M$112,$B12,TablaJuegos!Q$9:Q$112)</f>
        <v>0</v>
      </c>
      <c r="G12" s="84">
        <f ca="1">SUMIF(TablaJuegos!$M$9:$M$112,$B12,TablaJuegos!R$9:R$112)</f>
        <v>0</v>
      </c>
      <c r="H12" s="84">
        <f ca="1">SUMIF(TablaJuegos!$M$9:$M$112,$B12,TablaJuegos!S$9:S$112)</f>
        <v>0</v>
      </c>
      <c r="I12" s="84">
        <f ca="1">SUMIF(TablaJuegos!$M$9:$M$112,$B12,TablaJuegos!T$9:T$112)</f>
        <v>0</v>
      </c>
      <c r="J12" s="85">
        <f ca="1">SUMIF(TablaJuegos!$M$9:$M$112,$B12,TablaJuegos!U$9:U$112)</f>
        <v>0</v>
      </c>
      <c r="K12" s="86">
        <f ca="1">IF($D12=0,0,H12/$D12)</f>
        <v>0</v>
      </c>
      <c r="L12" s="92">
        <f ca="1">IF($D12=0,0,I12/$D12)</f>
        <v>0</v>
      </c>
    </row>
    <row r="13" spans="1:12" x14ac:dyDescent="0.25">
      <c r="A13" s="91" t="str">
        <f ca="1">IF($D13=0,"",IF(COUNTIF(TablaJuegos!$M$72:$M$87,$B13),IF(INDEX(TablaJuegos!$L$72:$L$87,MATCH($B13,TablaJuegos!$M$72:$M$87,0))="","",(INDEX(TablaJuegos!$L$72:$L$87,MATCH($B13,TablaJuegos!$M$72:$M$87,0)))),(IF(LEFT(C13,1)&lt;&gt;"P","",(SUMPRODUCT((((LOOKUP(LEFT(C13,1),{"C",1000;"F",8000;"O",500;"P",100;"S",3000}))*10000+100*D13*E13+30*H13-20*I13+J13)&lt;(10000*((LOOKUP(LEFT(C$3:C$34,1),{"C",1000;"F",8000;"O",500;"P",100;"S",3000})))+100*(D$3:D$34)*(E$3:E$34)+30*(H$3:H$34)-20*(I$3:I$34)+(J$3:J$34)))+0)+1)))))</f>
        <v/>
      </c>
      <c r="B13" s="83" t="s">
        <v>40</v>
      </c>
      <c r="C13" s="30" t="str">
        <f ca="1">IF(COUNTIF(TablaJuegos!$M$111:$M$112,$B13)=1,"Final",IF(COUNTIF(TablaJuegos!$M$100:$M$103,$B13)=1,"SemiFinal",IF(COUNTIF(TablaJuegos!$M$90:$M$97,$B13)=1,"Cuartos de Final",IF(COUNTIF(TablaJuegos!$M$72:$M$87,$B13)=1,"Octavos de Final","Primera Ronda"))))</f>
        <v>Primera Ronda</v>
      </c>
      <c r="D13" s="84">
        <f ca="1">SUMIF(TablaJuegos!$M$9:$M$112,$B13,TablaJuegos!O$9:O$112)</f>
        <v>0</v>
      </c>
      <c r="E13" s="84">
        <f ca="1">SUMIF(TablaJuegos!$M$9:$M$112,$B13,TablaJuegos!P$9:P$112)</f>
        <v>0</v>
      </c>
      <c r="F13" s="84">
        <f ca="1">SUMIF(TablaJuegos!$M$9:$M$112,$B13,TablaJuegos!Q$9:Q$112)</f>
        <v>0</v>
      </c>
      <c r="G13" s="84">
        <f ca="1">SUMIF(TablaJuegos!$M$9:$M$112,$B13,TablaJuegos!R$9:R$112)</f>
        <v>0</v>
      </c>
      <c r="H13" s="84">
        <f ca="1">SUMIF(TablaJuegos!$M$9:$M$112,$B13,TablaJuegos!S$9:S$112)</f>
        <v>0</v>
      </c>
      <c r="I13" s="84">
        <f ca="1">SUMIF(TablaJuegos!$M$9:$M$112,$B13,TablaJuegos!T$9:T$112)</f>
        <v>0</v>
      </c>
      <c r="J13" s="85">
        <f ca="1">SUMIF(TablaJuegos!$M$9:$M$112,$B13,TablaJuegos!U$9:U$112)</f>
        <v>0</v>
      </c>
      <c r="K13" s="86">
        <f ca="1">IF($D13=0,0,H13/$D13)</f>
        <v>0</v>
      </c>
      <c r="L13" s="92">
        <f ca="1">IF($D13=0,0,I13/$D13)</f>
        <v>0</v>
      </c>
    </row>
    <row r="14" spans="1:12" x14ac:dyDescent="0.25">
      <c r="A14" s="91" t="str">
        <f ca="1">IF($D14=0,"",IF(COUNTIF(TablaJuegos!$M$72:$M$87,$B14),IF(INDEX(TablaJuegos!$L$72:$L$87,MATCH($B14,TablaJuegos!$M$72:$M$87,0))="","",(INDEX(TablaJuegos!$L$72:$L$87,MATCH($B14,TablaJuegos!$M$72:$M$87,0)))),(IF(LEFT(C14,1)&lt;&gt;"P","",(SUMPRODUCT((((LOOKUP(LEFT(C14,1),{"C",1000;"F",8000;"O",500;"P",100;"S",3000}))*10000+100*D14*E14+30*H14-20*I14+J14)&lt;(10000*((LOOKUP(LEFT(C$3:C$34,1),{"C",1000;"F",8000;"O",500;"P",100;"S",3000})))+100*(D$3:D$34)*(E$3:E$34)+30*(H$3:H$34)-20*(I$3:I$34)+(J$3:J$34)))+0)+1)))))</f>
        <v/>
      </c>
      <c r="B14" s="83" t="s">
        <v>17</v>
      </c>
      <c r="C14" s="30" t="str">
        <f ca="1">IF(COUNTIF(TablaJuegos!$M$111:$M$112,$B14)=1,"Final",IF(COUNTIF(TablaJuegos!$M$100:$M$103,$B14)=1,"SemiFinal",IF(COUNTIF(TablaJuegos!$M$90:$M$97,$B14)=1,"Cuartos de Final",IF(COUNTIF(TablaJuegos!$M$72:$M$87,$B14)=1,"Octavos de Final","Primera Ronda"))))</f>
        <v>Primera Ronda</v>
      </c>
      <c r="D14" s="84">
        <f ca="1">SUMIF(TablaJuegos!$M$9:$M$112,$B14,TablaJuegos!O$9:O$112)</f>
        <v>0</v>
      </c>
      <c r="E14" s="84">
        <f ca="1">SUMIF(TablaJuegos!$M$9:$M$112,$B14,TablaJuegos!P$9:P$112)</f>
        <v>0</v>
      </c>
      <c r="F14" s="84">
        <f ca="1">SUMIF(TablaJuegos!$M$9:$M$112,$B14,TablaJuegos!Q$9:Q$112)</f>
        <v>0</v>
      </c>
      <c r="G14" s="84">
        <f ca="1">SUMIF(TablaJuegos!$M$9:$M$112,$B14,TablaJuegos!R$9:R$112)</f>
        <v>0</v>
      </c>
      <c r="H14" s="84">
        <f ca="1">SUMIF(TablaJuegos!$M$9:$M$112,$B14,TablaJuegos!S$9:S$112)</f>
        <v>0</v>
      </c>
      <c r="I14" s="84">
        <f ca="1">SUMIF(TablaJuegos!$M$9:$M$112,$B14,TablaJuegos!T$9:T$112)</f>
        <v>0</v>
      </c>
      <c r="J14" s="85">
        <f ca="1">SUMIF(TablaJuegos!$M$9:$M$112,$B14,TablaJuegos!U$9:U$112)</f>
        <v>0</v>
      </c>
      <c r="K14" s="86">
        <f ca="1">IF($D14=0,0,H14/$D14)</f>
        <v>0</v>
      </c>
      <c r="L14" s="92">
        <f ca="1">IF($D14=0,0,I14/$D14)</f>
        <v>0</v>
      </c>
    </row>
    <row r="15" spans="1:12" x14ac:dyDescent="0.25">
      <c r="A15" s="91" t="str">
        <f ca="1">IF($D15=0,"",IF(COUNTIF(TablaJuegos!$M$72:$M$87,$B15),IF(INDEX(TablaJuegos!$L$72:$L$87,MATCH($B15,TablaJuegos!$M$72:$M$87,0))="","",(INDEX(TablaJuegos!$L$72:$L$87,MATCH($B15,TablaJuegos!$M$72:$M$87,0)))),(IF(LEFT(C15,1)&lt;&gt;"P","",(SUMPRODUCT((((LOOKUP(LEFT(C15,1),{"C",1000;"F",8000;"O",500;"P",100;"S",3000}))*10000+100*D15*E15+30*H15-20*I15+J15)&lt;(10000*((LOOKUP(LEFT(C$3:C$34,1),{"C",1000;"F",8000;"O",500;"P",100;"S",3000})))+100*(D$3:D$34)*(E$3:E$34)+30*(H$3:H$34)-20*(I$3:I$34)+(J$3:J$34)))+0)+1)))))</f>
        <v/>
      </c>
      <c r="B15" s="83" t="s">
        <v>43</v>
      </c>
      <c r="C15" s="30" t="str">
        <f ca="1">IF(COUNTIF(TablaJuegos!$M$111:$M$112,$B15)=1,"Final",IF(COUNTIF(TablaJuegos!$M$100:$M$103,$B15)=1,"SemiFinal",IF(COUNTIF(TablaJuegos!$M$90:$M$97,$B15)=1,"Cuartos de Final",IF(COUNTIF(TablaJuegos!$M$72:$M$87,$B15)=1,"Octavos de Final","Primera Ronda"))))</f>
        <v>Primera Ronda</v>
      </c>
      <c r="D15" s="84">
        <f ca="1">SUMIF(TablaJuegos!$M$9:$M$112,$B15,TablaJuegos!O$9:O$112)</f>
        <v>0</v>
      </c>
      <c r="E15" s="84">
        <f ca="1">SUMIF(TablaJuegos!$M$9:$M$112,$B15,TablaJuegos!P$9:P$112)</f>
        <v>0</v>
      </c>
      <c r="F15" s="84">
        <f ca="1">SUMIF(TablaJuegos!$M$9:$M$112,$B15,TablaJuegos!Q$9:Q$112)</f>
        <v>0</v>
      </c>
      <c r="G15" s="84">
        <f ca="1">SUMIF(TablaJuegos!$M$9:$M$112,$B15,TablaJuegos!R$9:R$112)</f>
        <v>0</v>
      </c>
      <c r="H15" s="84">
        <f ca="1">SUMIF(TablaJuegos!$M$9:$M$112,$B15,TablaJuegos!S$9:S$112)</f>
        <v>0</v>
      </c>
      <c r="I15" s="84">
        <f ca="1">SUMIF(TablaJuegos!$M$9:$M$112,$B15,TablaJuegos!T$9:T$112)</f>
        <v>0</v>
      </c>
      <c r="J15" s="85">
        <f ca="1">SUMIF(TablaJuegos!$M$9:$M$112,$B15,TablaJuegos!U$9:U$112)</f>
        <v>0</v>
      </c>
      <c r="K15" s="86">
        <f ca="1">IF($D15=0,0,H15/$D15)</f>
        <v>0</v>
      </c>
      <c r="L15" s="92">
        <f ca="1">IF($D15=0,0,I15/$D15)</f>
        <v>0</v>
      </c>
    </row>
    <row r="16" spans="1:12" x14ac:dyDescent="0.25">
      <c r="A16" s="91" t="str">
        <f ca="1">IF($D16=0,"",IF(COUNTIF(TablaJuegos!$M$72:$M$87,$B16),IF(INDEX(TablaJuegos!$L$72:$L$87,MATCH($B16,TablaJuegos!$M$72:$M$87,0))="","",(INDEX(TablaJuegos!$L$72:$L$87,MATCH($B16,TablaJuegos!$M$72:$M$87,0)))),(IF(LEFT(C16,1)&lt;&gt;"P","",(SUMPRODUCT((((LOOKUP(LEFT(C16,1),{"C",1000;"F",8000;"O",500;"P",100;"S",3000}))*10000+100*D16*E16+30*H16-20*I16+J16)&lt;(10000*((LOOKUP(LEFT(C$3:C$34,1),{"C",1000;"F",8000;"O",500;"P",100;"S",3000})))+100*(D$3:D$34)*(E$3:E$34)+30*(H$3:H$34)-20*(I$3:I$34)+(J$3:J$34)))+0)+1)))))</f>
        <v/>
      </c>
      <c r="B16" s="83" t="s">
        <v>50</v>
      </c>
      <c r="C16" s="30" t="str">
        <f ca="1">IF(COUNTIF(TablaJuegos!$M$111:$M$112,$B16)=1,"Final",IF(COUNTIF(TablaJuegos!$M$100:$M$103,$B16)=1,"SemiFinal",IF(COUNTIF(TablaJuegos!$M$90:$M$97,$B16)=1,"Cuartos de Final",IF(COUNTIF(TablaJuegos!$M$72:$M$87,$B16)=1,"Octavos de Final","Primera Ronda"))))</f>
        <v>Primera Ronda</v>
      </c>
      <c r="D16" s="84">
        <f ca="1">SUMIF(TablaJuegos!$M$9:$M$112,$B16,TablaJuegos!O$9:O$112)</f>
        <v>0</v>
      </c>
      <c r="E16" s="84">
        <f ca="1">SUMIF(TablaJuegos!$M$9:$M$112,$B16,TablaJuegos!P$9:P$112)</f>
        <v>0</v>
      </c>
      <c r="F16" s="84">
        <f ca="1">SUMIF(TablaJuegos!$M$9:$M$112,$B16,TablaJuegos!Q$9:Q$112)</f>
        <v>0</v>
      </c>
      <c r="G16" s="84">
        <f ca="1">SUMIF(TablaJuegos!$M$9:$M$112,$B16,TablaJuegos!R$9:R$112)</f>
        <v>0</v>
      </c>
      <c r="H16" s="84">
        <f ca="1">SUMIF(TablaJuegos!$M$9:$M$112,$B16,TablaJuegos!S$9:S$112)</f>
        <v>0</v>
      </c>
      <c r="I16" s="84">
        <f ca="1">SUMIF(TablaJuegos!$M$9:$M$112,$B16,TablaJuegos!T$9:T$112)</f>
        <v>0</v>
      </c>
      <c r="J16" s="85">
        <f ca="1">SUMIF(TablaJuegos!$M$9:$M$112,$B16,TablaJuegos!U$9:U$112)</f>
        <v>0</v>
      </c>
      <c r="K16" s="86">
        <f ca="1">IF($D16=0,0,H16/$D16)</f>
        <v>0</v>
      </c>
      <c r="L16" s="92">
        <f ca="1">IF($D16=0,0,I16/$D16)</f>
        <v>0</v>
      </c>
    </row>
    <row r="17" spans="1:12" x14ac:dyDescent="0.25">
      <c r="A17" s="91" t="str">
        <f ca="1">IF($D17=0,"",IF(COUNTIF(TablaJuegos!$M$72:$M$87,$B17),IF(INDEX(TablaJuegos!$L$72:$L$87,MATCH($B17,TablaJuegos!$M$72:$M$87,0))="","",(INDEX(TablaJuegos!$L$72:$L$87,MATCH($B17,TablaJuegos!$M$72:$M$87,0)))),(IF(LEFT(C17,1)&lt;&gt;"P","",(SUMPRODUCT((((LOOKUP(LEFT(C17,1),{"C",1000;"F",8000;"O",500;"P",100;"S",3000}))*10000+100*D17*E17+30*H17-20*I17+J17)&lt;(10000*((LOOKUP(LEFT(C$3:C$34,1),{"C",1000;"F",8000;"O",500;"P",100;"S",3000})))+100*(D$3:D$34)*(E$3:E$34)+30*(H$3:H$34)-20*(I$3:I$34)+(J$3:J$34)))+0)+1)))))</f>
        <v/>
      </c>
      <c r="B17" s="83" t="s">
        <v>58</v>
      </c>
      <c r="C17" s="30" t="str">
        <f ca="1">IF(COUNTIF(TablaJuegos!$M$111:$M$112,$B17)=1,"Final",IF(COUNTIF(TablaJuegos!$M$100:$M$103,$B17)=1,"SemiFinal",IF(COUNTIF(TablaJuegos!$M$90:$M$97,$B17)=1,"Cuartos de Final",IF(COUNTIF(TablaJuegos!$M$72:$M$87,$B17)=1,"Octavos de Final","Primera Ronda"))))</f>
        <v>Primera Ronda</v>
      </c>
      <c r="D17" s="84">
        <f ca="1">SUMIF(TablaJuegos!$M$9:$M$112,$B17,TablaJuegos!O$9:O$112)</f>
        <v>0</v>
      </c>
      <c r="E17" s="84">
        <f ca="1">SUMIF(TablaJuegos!$M$9:$M$112,$B17,TablaJuegos!P$9:P$112)</f>
        <v>0</v>
      </c>
      <c r="F17" s="84">
        <f ca="1">SUMIF(TablaJuegos!$M$9:$M$112,$B17,TablaJuegos!Q$9:Q$112)</f>
        <v>0</v>
      </c>
      <c r="G17" s="84">
        <f ca="1">SUMIF(TablaJuegos!$M$9:$M$112,$B17,TablaJuegos!R$9:R$112)</f>
        <v>0</v>
      </c>
      <c r="H17" s="84">
        <f ca="1">SUMIF(TablaJuegos!$M$9:$M$112,$B17,TablaJuegos!S$9:S$112)</f>
        <v>0</v>
      </c>
      <c r="I17" s="84">
        <f ca="1">SUMIF(TablaJuegos!$M$9:$M$112,$B17,TablaJuegos!T$9:T$112)</f>
        <v>0</v>
      </c>
      <c r="J17" s="85">
        <f ca="1">SUMIF(TablaJuegos!$M$9:$M$112,$B17,TablaJuegos!U$9:U$112)</f>
        <v>0</v>
      </c>
      <c r="K17" s="86">
        <f ca="1">IF($D17=0,0,H17/$D17)</f>
        <v>0</v>
      </c>
      <c r="L17" s="92">
        <f ca="1">IF($D17=0,0,I17/$D17)</f>
        <v>0</v>
      </c>
    </row>
    <row r="18" spans="1:12" x14ac:dyDescent="0.25">
      <c r="A18" s="91" t="str">
        <f ca="1">IF($D18=0,"",IF(COUNTIF(TablaJuegos!$M$72:$M$87,$B18),IF(INDEX(TablaJuegos!$L$72:$L$87,MATCH($B18,TablaJuegos!$M$72:$M$87,0))="","",(INDEX(TablaJuegos!$L$72:$L$87,MATCH($B18,TablaJuegos!$M$72:$M$87,0)))),(IF(LEFT(C18,1)&lt;&gt;"P","",(SUMPRODUCT((((LOOKUP(LEFT(C18,1),{"C",1000;"F",8000;"O",500;"P",100;"S",3000}))*10000+100*D18*E18+30*H18-20*I18+J18)&lt;(10000*((LOOKUP(LEFT(C$3:C$34,1),{"C",1000;"F",8000;"O",500;"P",100;"S",3000})))+100*(D$3:D$34)*(E$3:E$34)+30*(H$3:H$34)-20*(I$3:I$34)+(J$3:J$34)))+0)+1)))))</f>
        <v/>
      </c>
      <c r="B18" s="83" t="s">
        <v>45</v>
      </c>
      <c r="C18" s="30" t="str">
        <f ca="1">IF(COUNTIF(TablaJuegos!$M$111:$M$112,$B18)=1,"Final",IF(COUNTIF(TablaJuegos!$M$100:$M$103,$B18)=1,"SemiFinal",IF(COUNTIF(TablaJuegos!$M$90:$M$97,$B18)=1,"Cuartos de Final",IF(COUNTIF(TablaJuegos!$M$72:$M$87,$B18)=1,"Octavos de Final","Primera Ronda"))))</f>
        <v>Primera Ronda</v>
      </c>
      <c r="D18" s="84">
        <f ca="1">SUMIF(TablaJuegos!$M$9:$M$112,$B18,TablaJuegos!O$9:O$112)</f>
        <v>0</v>
      </c>
      <c r="E18" s="84">
        <f ca="1">SUMIF(TablaJuegos!$M$9:$M$112,$B18,TablaJuegos!P$9:P$112)</f>
        <v>0</v>
      </c>
      <c r="F18" s="84">
        <f ca="1">SUMIF(TablaJuegos!$M$9:$M$112,$B18,TablaJuegos!Q$9:Q$112)</f>
        <v>0</v>
      </c>
      <c r="G18" s="84">
        <f ca="1">SUMIF(TablaJuegos!$M$9:$M$112,$B18,TablaJuegos!R$9:R$112)</f>
        <v>0</v>
      </c>
      <c r="H18" s="84">
        <f ca="1">SUMIF(TablaJuegos!$M$9:$M$112,$B18,TablaJuegos!S$9:S$112)</f>
        <v>0</v>
      </c>
      <c r="I18" s="84">
        <f ca="1">SUMIF(TablaJuegos!$M$9:$M$112,$B18,TablaJuegos!T$9:T$112)</f>
        <v>0</v>
      </c>
      <c r="J18" s="85">
        <f ca="1">SUMIF(TablaJuegos!$M$9:$M$112,$B18,TablaJuegos!U$9:U$112)</f>
        <v>0</v>
      </c>
      <c r="K18" s="86">
        <f ca="1">IF($D18=0,0,H18/$D18)</f>
        <v>0</v>
      </c>
      <c r="L18" s="92">
        <f ca="1">IF($D18=0,0,I18/$D18)</f>
        <v>0</v>
      </c>
    </row>
    <row r="19" spans="1:12" x14ac:dyDescent="0.25">
      <c r="A19" s="91" t="str">
        <f ca="1">IF($D19=0,"",IF(COUNTIF(TablaJuegos!$M$72:$M$87,$B19),IF(INDEX(TablaJuegos!$L$72:$L$87,MATCH($B19,TablaJuegos!$M$72:$M$87,0))="","",(INDEX(TablaJuegos!$L$72:$L$87,MATCH($B19,TablaJuegos!$M$72:$M$87,0)))),(IF(LEFT(C19,1)&lt;&gt;"P","",(SUMPRODUCT((((LOOKUP(LEFT(C19,1),{"C",1000;"F",8000;"O",500;"P",100;"S",3000}))*10000+100*D19*E19+30*H19-20*I19+J19)&lt;(10000*((LOOKUP(LEFT(C$3:C$34,1),{"C",1000;"F",8000;"O",500;"P",100;"S",3000})))+100*(D$3:D$34)*(E$3:E$34)+30*(H$3:H$34)-20*(I$3:I$34)+(J$3:J$34)))+0)+1)))))</f>
        <v/>
      </c>
      <c r="B19" s="83" t="s">
        <v>55</v>
      </c>
      <c r="C19" s="30" t="str">
        <f ca="1">IF(COUNTIF(TablaJuegos!$M$111:$M$112,$B19)=1,"Final",IF(COUNTIF(TablaJuegos!$M$100:$M$103,$B19)=1,"SemiFinal",IF(COUNTIF(TablaJuegos!$M$90:$M$97,$B19)=1,"Cuartos de Final",IF(COUNTIF(TablaJuegos!$M$72:$M$87,$B19)=1,"Octavos de Final","Primera Ronda"))))</f>
        <v>Primera Ronda</v>
      </c>
      <c r="D19" s="84">
        <f ca="1">SUMIF(TablaJuegos!$M$9:$M$112,$B19,TablaJuegos!O$9:O$112)</f>
        <v>0</v>
      </c>
      <c r="E19" s="84">
        <f ca="1">SUMIF(TablaJuegos!$M$9:$M$112,$B19,TablaJuegos!P$9:P$112)</f>
        <v>0</v>
      </c>
      <c r="F19" s="84">
        <f ca="1">SUMIF(TablaJuegos!$M$9:$M$112,$B19,TablaJuegos!Q$9:Q$112)</f>
        <v>0</v>
      </c>
      <c r="G19" s="84">
        <f ca="1">SUMIF(TablaJuegos!$M$9:$M$112,$B19,TablaJuegos!R$9:R$112)</f>
        <v>0</v>
      </c>
      <c r="H19" s="84">
        <f ca="1">SUMIF(TablaJuegos!$M$9:$M$112,$B19,TablaJuegos!S$9:S$112)</f>
        <v>0</v>
      </c>
      <c r="I19" s="84">
        <f ca="1">SUMIF(TablaJuegos!$M$9:$M$112,$B19,TablaJuegos!T$9:T$112)</f>
        <v>0</v>
      </c>
      <c r="J19" s="85">
        <f ca="1">SUMIF(TablaJuegos!$M$9:$M$112,$B19,TablaJuegos!U$9:U$112)</f>
        <v>0</v>
      </c>
      <c r="K19" s="86">
        <f ca="1">IF($D19=0,0,H19/$D19)</f>
        <v>0</v>
      </c>
      <c r="L19" s="92">
        <f ca="1">IF($D19=0,0,I19/$D19)</f>
        <v>0</v>
      </c>
    </row>
    <row r="20" spans="1:12" x14ac:dyDescent="0.25">
      <c r="A20" s="91" t="str">
        <f ca="1">IF($D20=0,"",IF(COUNTIF(TablaJuegos!$M$72:$M$87,$B20),IF(INDEX(TablaJuegos!$L$72:$L$87,MATCH($B20,TablaJuegos!$M$72:$M$87,0))="","",(INDEX(TablaJuegos!$L$72:$L$87,MATCH($B20,TablaJuegos!$M$72:$M$87,0)))),(IF(LEFT(C20,1)&lt;&gt;"P","",(SUMPRODUCT((((LOOKUP(LEFT(C20,1),{"C",1000;"F",8000;"O",500;"P",100;"S",3000}))*10000+100*D20*E20+30*H20-20*I20+J20)&lt;(10000*((LOOKUP(LEFT(C$3:C$34,1),{"C",1000;"F",8000;"O",500;"P",100;"S",3000})))+100*(D$3:D$34)*(E$3:E$34)+30*(H$3:H$34)-20*(I$3:I$34)+(J$3:J$34)))+0)+1)))))</f>
        <v/>
      </c>
      <c r="B20" s="83" t="s">
        <v>22</v>
      </c>
      <c r="C20" s="30" t="str">
        <f ca="1">IF(COUNTIF(TablaJuegos!$M$111:$M$112,$B20)=1,"Final",IF(COUNTIF(TablaJuegos!$M$100:$M$103,$B20)=1,"SemiFinal",IF(COUNTIF(TablaJuegos!$M$90:$M$97,$B20)=1,"Cuartos de Final",IF(COUNTIF(TablaJuegos!$M$72:$M$87,$B20)=1,"Octavos de Final","Primera Ronda"))))</f>
        <v>Primera Ronda</v>
      </c>
      <c r="D20" s="84">
        <f ca="1">SUMIF(TablaJuegos!$M$9:$M$112,$B20,TablaJuegos!O$9:O$112)</f>
        <v>0</v>
      </c>
      <c r="E20" s="84">
        <f ca="1">SUMIF(TablaJuegos!$M$9:$M$112,$B20,TablaJuegos!P$9:P$112)</f>
        <v>0</v>
      </c>
      <c r="F20" s="84">
        <f ca="1">SUMIF(TablaJuegos!$M$9:$M$112,$B20,TablaJuegos!Q$9:Q$112)</f>
        <v>0</v>
      </c>
      <c r="G20" s="84">
        <f ca="1">SUMIF(TablaJuegos!$M$9:$M$112,$B20,TablaJuegos!R$9:R$112)</f>
        <v>0</v>
      </c>
      <c r="H20" s="84">
        <f ca="1">SUMIF(TablaJuegos!$M$9:$M$112,$B20,TablaJuegos!S$9:S$112)</f>
        <v>0</v>
      </c>
      <c r="I20" s="84">
        <f ca="1">SUMIF(TablaJuegos!$M$9:$M$112,$B20,TablaJuegos!T$9:T$112)</f>
        <v>0</v>
      </c>
      <c r="J20" s="85">
        <f ca="1">SUMIF(TablaJuegos!$M$9:$M$112,$B20,TablaJuegos!U$9:U$112)</f>
        <v>0</v>
      </c>
      <c r="K20" s="86">
        <f ca="1">IF($D20=0,0,H20/$D20)</f>
        <v>0</v>
      </c>
      <c r="L20" s="92">
        <f ca="1">IF($D20=0,0,I20/$D20)</f>
        <v>0</v>
      </c>
    </row>
    <row r="21" spans="1:12" x14ac:dyDescent="0.25">
      <c r="A21" s="91" t="str">
        <f ca="1">IF($D21=0,"",IF(COUNTIF(TablaJuegos!$M$72:$M$87,$B21),IF(INDEX(TablaJuegos!$L$72:$L$87,MATCH($B21,TablaJuegos!$M$72:$M$87,0))="","",(INDEX(TablaJuegos!$L$72:$L$87,MATCH($B21,TablaJuegos!$M$72:$M$87,0)))),(IF(LEFT(C21,1)&lt;&gt;"P","",(SUMPRODUCT((((LOOKUP(LEFT(C21,1),{"C",1000;"F",8000;"O",500;"P",100;"S",3000}))*10000+100*D21*E21+30*H21-20*I21+J21)&lt;(10000*((LOOKUP(LEFT(C$3:C$34,1),{"C",1000;"F",8000;"O",500;"P",100;"S",3000})))+100*(D$3:D$34)*(E$3:E$34)+30*(H$3:H$34)-20*(I$3:I$34)+(J$3:J$34)))+0)+1)))))</f>
        <v/>
      </c>
      <c r="B21" s="83" t="s">
        <v>27</v>
      </c>
      <c r="C21" s="30" t="str">
        <f ca="1">IF(COUNTIF(TablaJuegos!$M$111:$M$112,$B21)=1,"Final",IF(COUNTIF(TablaJuegos!$M$100:$M$103,$B21)=1,"SemiFinal",IF(COUNTIF(TablaJuegos!$M$90:$M$97,$B21)=1,"Cuartos de Final",IF(COUNTIF(TablaJuegos!$M$72:$M$87,$B21)=1,"Octavos de Final","Primera Ronda"))))</f>
        <v>Primera Ronda</v>
      </c>
      <c r="D21" s="84">
        <f ca="1">SUMIF(TablaJuegos!$M$9:$M$112,$B21,TablaJuegos!O$9:O$112)</f>
        <v>0</v>
      </c>
      <c r="E21" s="84">
        <f ca="1">SUMIF(TablaJuegos!$M$9:$M$112,$B21,TablaJuegos!P$9:P$112)</f>
        <v>0</v>
      </c>
      <c r="F21" s="84">
        <f ca="1">SUMIF(TablaJuegos!$M$9:$M$112,$B21,TablaJuegos!Q$9:Q$112)</f>
        <v>0</v>
      </c>
      <c r="G21" s="84">
        <f ca="1">SUMIF(TablaJuegos!$M$9:$M$112,$B21,TablaJuegos!R$9:R$112)</f>
        <v>0</v>
      </c>
      <c r="H21" s="84">
        <f ca="1">SUMIF(TablaJuegos!$M$9:$M$112,$B21,TablaJuegos!S$9:S$112)</f>
        <v>0</v>
      </c>
      <c r="I21" s="84">
        <f ca="1">SUMIF(TablaJuegos!$M$9:$M$112,$B21,TablaJuegos!T$9:T$112)</f>
        <v>0</v>
      </c>
      <c r="J21" s="85">
        <f ca="1">SUMIF(TablaJuegos!$M$9:$M$112,$B21,TablaJuegos!U$9:U$112)</f>
        <v>0</v>
      </c>
      <c r="K21" s="86">
        <f ca="1">IF($D21=0,0,H21/$D21)</f>
        <v>0</v>
      </c>
      <c r="L21" s="92">
        <f ca="1">IF($D21=0,0,I21/$D21)</f>
        <v>0</v>
      </c>
    </row>
    <row r="22" spans="1:12" x14ac:dyDescent="0.25">
      <c r="A22" s="91" t="str">
        <f ca="1">IF($D22=0,"",IF(COUNTIF(TablaJuegos!$M$72:$M$87,$B22),IF(INDEX(TablaJuegos!$L$72:$L$87,MATCH($B22,TablaJuegos!$M$72:$M$87,0))="","",(INDEX(TablaJuegos!$L$72:$L$87,MATCH($B22,TablaJuegos!$M$72:$M$87,0)))),(IF(LEFT(C22,1)&lt;&gt;"P","",(SUMPRODUCT((((LOOKUP(LEFT(C22,1),{"C",1000;"F",8000;"O",500;"P",100;"S",3000}))*10000+100*D22*E22+30*H22-20*I22+J22)&lt;(10000*((LOOKUP(LEFT(C$3:C$34,1),{"C",1000;"F",8000;"O",500;"P",100;"S",3000})))+100*(D$3:D$34)*(E$3:E$34)+30*(H$3:H$34)-20*(I$3:I$34)+(J$3:J$34)))+0)+1)))))</f>
        <v/>
      </c>
      <c r="B22" s="83" t="s">
        <v>48</v>
      </c>
      <c r="C22" s="30" t="str">
        <f ca="1">IF(COUNTIF(TablaJuegos!$M$111:$M$112,$B22)=1,"Final",IF(COUNTIF(TablaJuegos!$M$100:$M$103,$B22)=1,"SemiFinal",IF(COUNTIF(TablaJuegos!$M$90:$M$97,$B22)=1,"Cuartos de Final",IF(COUNTIF(TablaJuegos!$M$72:$M$87,$B22)=1,"Octavos de Final","Primera Ronda"))))</f>
        <v>Primera Ronda</v>
      </c>
      <c r="D22" s="84">
        <f ca="1">SUMIF(TablaJuegos!$M$9:$M$112,$B22,TablaJuegos!O$9:O$112)</f>
        <v>0</v>
      </c>
      <c r="E22" s="84">
        <f ca="1">SUMIF(TablaJuegos!$M$9:$M$112,$B22,TablaJuegos!P$9:P$112)</f>
        <v>0</v>
      </c>
      <c r="F22" s="84">
        <f ca="1">SUMIF(TablaJuegos!$M$9:$M$112,$B22,TablaJuegos!Q$9:Q$112)</f>
        <v>0</v>
      </c>
      <c r="G22" s="84">
        <f ca="1">SUMIF(TablaJuegos!$M$9:$M$112,$B22,TablaJuegos!R$9:R$112)</f>
        <v>0</v>
      </c>
      <c r="H22" s="84">
        <f ca="1">SUMIF(TablaJuegos!$M$9:$M$112,$B22,TablaJuegos!S$9:S$112)</f>
        <v>0</v>
      </c>
      <c r="I22" s="84">
        <f ca="1">SUMIF(TablaJuegos!$M$9:$M$112,$B22,TablaJuegos!T$9:T$112)</f>
        <v>0</v>
      </c>
      <c r="J22" s="85">
        <f ca="1">SUMIF(TablaJuegos!$M$9:$M$112,$B22,TablaJuegos!U$9:U$112)</f>
        <v>0</v>
      </c>
      <c r="K22" s="86">
        <f ca="1">IF($D22=0,0,H22/$D22)</f>
        <v>0</v>
      </c>
      <c r="L22" s="92">
        <f ca="1">IF($D22=0,0,I22/$D22)</f>
        <v>0</v>
      </c>
    </row>
    <row r="23" spans="1:12" x14ac:dyDescent="0.25">
      <c r="A23" s="91" t="str">
        <f ca="1">IF($D23=0,"",IF(COUNTIF(TablaJuegos!$M$72:$M$87,$B23),IF(INDEX(TablaJuegos!$L$72:$L$87,MATCH($B23,TablaJuegos!$M$72:$M$87,0))="","",(INDEX(TablaJuegos!$L$72:$L$87,MATCH($B23,TablaJuegos!$M$72:$M$87,0)))),(IF(LEFT(C23,1)&lt;&gt;"P","",(SUMPRODUCT((((LOOKUP(LEFT(C23,1),{"C",1000;"F",8000;"O",500;"P",100;"S",3000}))*10000+100*D23*E23+30*H23-20*I23+J23)&lt;(10000*((LOOKUP(LEFT(C$3:C$34,1),{"C",1000;"F",8000;"O",500;"P",100;"S",3000})))+100*(D$3:D$34)*(E$3:E$34)+30*(H$3:H$34)-20*(I$3:I$34)+(J$3:J$34)))+0)+1)))))</f>
        <v/>
      </c>
      <c r="B23" s="83" t="s">
        <v>57</v>
      </c>
      <c r="C23" s="30" t="str">
        <f ca="1">IF(COUNTIF(TablaJuegos!$M$111:$M$112,$B23)=1,"Final",IF(COUNTIF(TablaJuegos!$M$100:$M$103,$B23)=1,"SemiFinal",IF(COUNTIF(TablaJuegos!$M$90:$M$97,$B23)=1,"Cuartos de Final",IF(COUNTIF(TablaJuegos!$M$72:$M$87,$B23)=1,"Octavos de Final","Primera Ronda"))))</f>
        <v>Primera Ronda</v>
      </c>
      <c r="D23" s="84">
        <f ca="1">SUMIF(TablaJuegos!$M$9:$M$112,$B23,TablaJuegos!O$9:O$112)</f>
        <v>0</v>
      </c>
      <c r="E23" s="84">
        <f ca="1">SUMIF(TablaJuegos!$M$9:$M$112,$B23,TablaJuegos!P$9:P$112)</f>
        <v>0</v>
      </c>
      <c r="F23" s="84">
        <f ca="1">SUMIF(TablaJuegos!$M$9:$M$112,$B23,TablaJuegos!Q$9:Q$112)</f>
        <v>0</v>
      </c>
      <c r="G23" s="84">
        <f ca="1">SUMIF(TablaJuegos!$M$9:$M$112,$B23,TablaJuegos!R$9:R$112)</f>
        <v>0</v>
      </c>
      <c r="H23" s="84">
        <f ca="1">SUMIF(TablaJuegos!$M$9:$M$112,$B23,TablaJuegos!S$9:S$112)</f>
        <v>0</v>
      </c>
      <c r="I23" s="84">
        <f ca="1">SUMIF(TablaJuegos!$M$9:$M$112,$B23,TablaJuegos!T$9:T$112)</f>
        <v>0</v>
      </c>
      <c r="J23" s="85">
        <f ca="1">SUMIF(TablaJuegos!$M$9:$M$112,$B23,TablaJuegos!U$9:U$112)</f>
        <v>0</v>
      </c>
      <c r="K23" s="86">
        <f ca="1">IF($D23=0,0,H23/$D23)</f>
        <v>0</v>
      </c>
      <c r="L23" s="92">
        <f ca="1">IF($D23=0,0,I23/$D23)</f>
        <v>0</v>
      </c>
    </row>
    <row r="24" spans="1:12" x14ac:dyDescent="0.25">
      <c r="A24" s="91" t="str">
        <f ca="1">IF($D24=0,"",IF(COUNTIF(TablaJuegos!$M$72:$M$87,$B24),IF(INDEX(TablaJuegos!$L$72:$L$87,MATCH($B24,TablaJuegos!$M$72:$M$87,0))="","",(INDEX(TablaJuegos!$L$72:$L$87,MATCH($B24,TablaJuegos!$M$72:$M$87,0)))),(IF(LEFT(C24,1)&lt;&gt;"P","",(SUMPRODUCT((((LOOKUP(LEFT(C24,1),{"C",1000;"F",8000;"O",500;"P",100;"S",3000}))*10000+100*D24*E24+30*H24-20*I24+J24)&lt;(10000*((LOOKUP(LEFT(C$3:C$34,1),{"C",1000;"F",8000;"O",500;"P",100;"S",3000})))+100*(D$3:D$34)*(E$3:E$34)+30*(H$3:H$34)-20*(I$3:I$34)+(J$3:J$34)))+0)+1)))))</f>
        <v/>
      </c>
      <c r="B24" s="83" t="s">
        <v>75</v>
      </c>
      <c r="C24" s="30" t="str">
        <f ca="1">IF(COUNTIF(TablaJuegos!$M$111:$M$112,$B24)=1,"Final",IF(COUNTIF(TablaJuegos!$M$100:$M$103,$B24)=1,"SemiFinal",IF(COUNTIF(TablaJuegos!$M$90:$M$97,$B24)=1,"Cuartos de Final",IF(COUNTIF(TablaJuegos!$M$72:$M$87,$B24)=1,"Octavos de Final","Primera Ronda"))))</f>
        <v>Primera Ronda</v>
      </c>
      <c r="D24" s="84">
        <f ca="1">SUMIF(TablaJuegos!$M$9:$M$112,$B24,TablaJuegos!O$9:O$112)</f>
        <v>0</v>
      </c>
      <c r="E24" s="84">
        <f ca="1">SUMIF(TablaJuegos!$M$9:$M$112,$B24,TablaJuegos!P$9:P$112)</f>
        <v>0</v>
      </c>
      <c r="F24" s="84">
        <f ca="1">SUMIF(TablaJuegos!$M$9:$M$112,$B24,TablaJuegos!Q$9:Q$112)</f>
        <v>0</v>
      </c>
      <c r="G24" s="84">
        <f ca="1">SUMIF(TablaJuegos!$M$9:$M$112,$B24,TablaJuegos!R$9:R$112)</f>
        <v>0</v>
      </c>
      <c r="H24" s="84">
        <f ca="1">SUMIF(TablaJuegos!$M$9:$M$112,$B24,TablaJuegos!S$9:S$112)</f>
        <v>0</v>
      </c>
      <c r="I24" s="84">
        <f ca="1">SUMIF(TablaJuegos!$M$9:$M$112,$B24,TablaJuegos!T$9:T$112)</f>
        <v>0</v>
      </c>
      <c r="J24" s="85">
        <f ca="1">SUMIF(TablaJuegos!$M$9:$M$112,$B24,TablaJuegos!U$9:U$112)</f>
        <v>0</v>
      </c>
      <c r="K24" s="86">
        <f ca="1">IF($D24=0,0,H24/$D24)</f>
        <v>0</v>
      </c>
      <c r="L24" s="92">
        <f ca="1">IF($D24=0,0,I24/$D24)</f>
        <v>0</v>
      </c>
    </row>
    <row r="25" spans="1:12" x14ac:dyDescent="0.25">
      <c r="A25" s="91" t="str">
        <f ca="1">IF($D25=0,"",IF(COUNTIF(TablaJuegos!$M$72:$M$87,$B25),IF(INDEX(TablaJuegos!$L$72:$L$87,MATCH($B25,TablaJuegos!$M$72:$M$87,0))="","",(INDEX(TablaJuegos!$L$72:$L$87,MATCH($B25,TablaJuegos!$M$72:$M$87,0)))),(IF(LEFT(C25,1)&lt;&gt;"P","",(SUMPRODUCT((((LOOKUP(LEFT(C25,1),{"C",1000;"F",8000;"O",500;"P",100;"S",3000}))*10000+100*D25*E25+30*H25-20*I25+J25)&lt;(10000*((LOOKUP(LEFT(C$3:C$34,1),{"C",1000;"F",8000;"O",500;"P",100;"S",3000})))+100*(D$3:D$34)*(E$3:E$34)+30*(H$3:H$34)-20*(I$3:I$34)+(J$3:J$34)))+0)+1)))))</f>
        <v/>
      </c>
      <c r="B25" s="83" t="s">
        <v>30</v>
      </c>
      <c r="C25" s="30" t="str">
        <f ca="1">IF(COUNTIF(TablaJuegos!$M$111:$M$112,$B25)=1,"Final",IF(COUNTIF(TablaJuegos!$M$100:$M$103,$B25)=1,"SemiFinal",IF(COUNTIF(TablaJuegos!$M$90:$M$97,$B25)=1,"Cuartos de Final",IF(COUNTIF(TablaJuegos!$M$72:$M$87,$B25)=1,"Octavos de Final","Primera Ronda"))))</f>
        <v>Primera Ronda</v>
      </c>
      <c r="D25" s="84">
        <f ca="1">SUMIF(TablaJuegos!$M$9:$M$112,$B25,TablaJuegos!O$9:O$112)</f>
        <v>0</v>
      </c>
      <c r="E25" s="84">
        <f ca="1">SUMIF(TablaJuegos!$M$9:$M$112,$B25,TablaJuegos!P$9:P$112)</f>
        <v>0</v>
      </c>
      <c r="F25" s="84">
        <f ca="1">SUMIF(TablaJuegos!$M$9:$M$112,$B25,TablaJuegos!Q$9:Q$112)</f>
        <v>0</v>
      </c>
      <c r="G25" s="84">
        <f ca="1">SUMIF(TablaJuegos!$M$9:$M$112,$B25,TablaJuegos!R$9:R$112)</f>
        <v>0</v>
      </c>
      <c r="H25" s="84">
        <f ca="1">SUMIF(TablaJuegos!$M$9:$M$112,$B25,TablaJuegos!S$9:S$112)</f>
        <v>0</v>
      </c>
      <c r="I25" s="84">
        <f ca="1">SUMIF(TablaJuegos!$M$9:$M$112,$B25,TablaJuegos!T$9:T$112)</f>
        <v>0</v>
      </c>
      <c r="J25" s="85">
        <f ca="1">SUMIF(TablaJuegos!$M$9:$M$112,$B25,TablaJuegos!U$9:U$112)</f>
        <v>0</v>
      </c>
      <c r="K25" s="86">
        <f ca="1">IF($D25=0,0,H25/$D25)</f>
        <v>0</v>
      </c>
      <c r="L25" s="92">
        <f ca="1">IF($D25=0,0,I25/$D25)</f>
        <v>0</v>
      </c>
    </row>
    <row r="26" spans="1:12" x14ac:dyDescent="0.25">
      <c r="A26" s="91" t="str">
        <f ca="1">IF($D26=0,"",IF(COUNTIF(TablaJuegos!$M$72:$M$87,$B26),IF(INDEX(TablaJuegos!$L$72:$L$87,MATCH($B26,TablaJuegos!$M$72:$M$87,0))="","",(INDEX(TablaJuegos!$L$72:$L$87,MATCH($B26,TablaJuegos!$M$72:$M$87,0)))),(IF(LEFT(C26,1)&lt;&gt;"P","",(SUMPRODUCT((((LOOKUP(LEFT(C26,1),{"C",1000;"F",8000;"O",500;"P",100;"S",3000}))*10000+100*D26*E26+30*H26-20*I26+J26)&lt;(10000*((LOOKUP(LEFT(C$3:C$34,1),{"C",1000;"F",8000;"O",500;"P",100;"S",3000})))+100*(D$3:D$34)*(E$3:E$34)+30*(H$3:H$34)-20*(I$3:I$34)+(J$3:J$34)))+0)+1)))))</f>
        <v/>
      </c>
      <c r="B26" s="83" t="s">
        <v>49</v>
      </c>
      <c r="C26" s="30" t="str">
        <f ca="1">IF(COUNTIF(TablaJuegos!$M$111:$M$112,$B26)=1,"Final",IF(COUNTIF(TablaJuegos!$M$100:$M$103,$B26)=1,"SemiFinal",IF(COUNTIF(TablaJuegos!$M$90:$M$97,$B26)=1,"Cuartos de Final",IF(COUNTIF(TablaJuegos!$M$72:$M$87,$B26)=1,"Octavos de Final","Primera Ronda"))))</f>
        <v>Primera Ronda</v>
      </c>
      <c r="D26" s="84">
        <f ca="1">SUMIF(TablaJuegos!$M$9:$M$112,$B26,TablaJuegos!O$9:O$112)</f>
        <v>0</v>
      </c>
      <c r="E26" s="84">
        <f ca="1">SUMIF(TablaJuegos!$M$9:$M$112,$B26,TablaJuegos!P$9:P$112)</f>
        <v>0</v>
      </c>
      <c r="F26" s="84">
        <f ca="1">SUMIF(TablaJuegos!$M$9:$M$112,$B26,TablaJuegos!Q$9:Q$112)</f>
        <v>0</v>
      </c>
      <c r="G26" s="84">
        <f ca="1">SUMIF(TablaJuegos!$M$9:$M$112,$B26,TablaJuegos!R$9:R$112)</f>
        <v>0</v>
      </c>
      <c r="H26" s="84">
        <f ca="1">SUMIF(TablaJuegos!$M$9:$M$112,$B26,TablaJuegos!S$9:S$112)</f>
        <v>0</v>
      </c>
      <c r="I26" s="84">
        <f ca="1">SUMIF(TablaJuegos!$M$9:$M$112,$B26,TablaJuegos!T$9:T$112)</f>
        <v>0</v>
      </c>
      <c r="J26" s="85">
        <f ca="1">SUMIF(TablaJuegos!$M$9:$M$112,$B26,TablaJuegos!U$9:U$112)</f>
        <v>0</v>
      </c>
      <c r="K26" s="86">
        <f ca="1">IF($D26=0,0,H26/$D26)</f>
        <v>0</v>
      </c>
      <c r="L26" s="92">
        <f ca="1">IF($D26=0,0,I26/$D26)</f>
        <v>0</v>
      </c>
    </row>
    <row r="27" spans="1:12" x14ac:dyDescent="0.25">
      <c r="A27" s="91" t="str">
        <f ca="1">IF($D27=0,"",IF(COUNTIF(TablaJuegos!$M$72:$M$87,$B27),IF(INDEX(TablaJuegos!$L$72:$L$87,MATCH($B27,TablaJuegos!$M$72:$M$87,0))="","",(INDEX(TablaJuegos!$L$72:$L$87,MATCH($B27,TablaJuegos!$M$72:$M$87,0)))),(IF(LEFT(C27,1)&lt;&gt;"P","",(SUMPRODUCT((((LOOKUP(LEFT(C27,1),{"C",1000;"F",8000;"O",500;"P",100;"S",3000}))*10000+100*D27*E27+30*H27-20*I27+J27)&lt;(10000*((LOOKUP(LEFT(C$3:C$34,1),{"C",1000;"F",8000;"O",500;"P",100;"S",3000})))+100*(D$3:D$34)*(E$3:E$34)+30*(H$3:H$34)-20*(I$3:I$34)+(J$3:J$34)))+0)+1)))))</f>
        <v/>
      </c>
      <c r="B27" s="83" t="s">
        <v>14</v>
      </c>
      <c r="C27" s="30" t="str">
        <f ca="1">IF(COUNTIF(TablaJuegos!$M$111:$M$112,$B27)=1,"Final",IF(COUNTIF(TablaJuegos!$M$100:$M$103,$B27)=1,"SemiFinal",IF(COUNTIF(TablaJuegos!$M$90:$M$97,$B27)=1,"Cuartos de Final",IF(COUNTIF(TablaJuegos!$M$72:$M$87,$B27)=1,"Octavos de Final","Primera Ronda"))))</f>
        <v>Primera Ronda</v>
      </c>
      <c r="D27" s="84">
        <f ca="1">SUMIF(TablaJuegos!$M$9:$M$112,$B27,TablaJuegos!O$9:O$112)</f>
        <v>0</v>
      </c>
      <c r="E27" s="84">
        <f ca="1">SUMIF(TablaJuegos!$M$9:$M$112,$B27,TablaJuegos!P$9:P$112)</f>
        <v>0</v>
      </c>
      <c r="F27" s="84">
        <f ca="1">SUMIF(TablaJuegos!$M$9:$M$112,$B27,TablaJuegos!Q$9:Q$112)</f>
        <v>0</v>
      </c>
      <c r="G27" s="84">
        <f ca="1">SUMIF(TablaJuegos!$M$9:$M$112,$B27,TablaJuegos!R$9:R$112)</f>
        <v>0</v>
      </c>
      <c r="H27" s="84">
        <f ca="1">SUMIF(TablaJuegos!$M$9:$M$112,$B27,TablaJuegos!S$9:S$112)</f>
        <v>0</v>
      </c>
      <c r="I27" s="84">
        <f ca="1">SUMIF(TablaJuegos!$M$9:$M$112,$B27,TablaJuegos!T$9:T$112)</f>
        <v>0</v>
      </c>
      <c r="J27" s="85">
        <f ca="1">SUMIF(TablaJuegos!$M$9:$M$112,$B27,TablaJuegos!U$9:U$112)</f>
        <v>0</v>
      </c>
      <c r="K27" s="86">
        <f ca="1">IF($D27=0,0,H27/$D27)</f>
        <v>0</v>
      </c>
      <c r="L27" s="92">
        <f ca="1">IF($D27=0,0,I27/$D27)</f>
        <v>0</v>
      </c>
    </row>
    <row r="28" spans="1:12" x14ac:dyDescent="0.25">
      <c r="A28" s="91" t="str">
        <f ca="1">IF($D28=0,"",IF(COUNTIF(TablaJuegos!$M$72:$M$87,$B28),IF(INDEX(TablaJuegos!$L$72:$L$87,MATCH($B28,TablaJuegos!$M$72:$M$87,0))="","",(INDEX(TablaJuegos!$L$72:$L$87,MATCH($B28,TablaJuegos!$M$72:$M$87,0)))),(IF(LEFT(C28,1)&lt;&gt;"P","",(SUMPRODUCT((((LOOKUP(LEFT(C28,1),{"C",1000;"F",8000;"O",500;"P",100;"S",3000}))*10000+100*D28*E28+30*H28-20*I28+J28)&lt;(10000*((LOOKUP(LEFT(C$3:C$34,1),{"C",1000;"F",8000;"O",500;"P",100;"S",3000})))+100*(D$3:D$34)*(E$3:E$34)+30*(H$3:H$34)-20*(I$3:I$34)+(J$3:J$34)))+0)+1)))))</f>
        <v/>
      </c>
      <c r="B28" s="83" t="s">
        <v>47</v>
      </c>
      <c r="C28" s="30" t="str">
        <f ca="1">IF(COUNTIF(TablaJuegos!$M$111:$M$112,$B28)=1,"Final",IF(COUNTIF(TablaJuegos!$M$100:$M$103,$B28)=1,"SemiFinal",IF(COUNTIF(TablaJuegos!$M$90:$M$97,$B28)=1,"Cuartos de Final",IF(COUNTIF(TablaJuegos!$M$72:$M$87,$B28)=1,"Octavos de Final","Primera Ronda"))))</f>
        <v>Primera Ronda</v>
      </c>
      <c r="D28" s="84">
        <f ca="1">SUMIF(TablaJuegos!$M$9:$M$112,$B28,TablaJuegos!O$9:O$112)</f>
        <v>0</v>
      </c>
      <c r="E28" s="84">
        <f ca="1">SUMIF(TablaJuegos!$M$9:$M$112,$B28,TablaJuegos!P$9:P$112)</f>
        <v>0</v>
      </c>
      <c r="F28" s="84">
        <f ca="1">SUMIF(TablaJuegos!$M$9:$M$112,$B28,TablaJuegos!Q$9:Q$112)</f>
        <v>0</v>
      </c>
      <c r="G28" s="84">
        <f ca="1">SUMIF(TablaJuegos!$M$9:$M$112,$B28,TablaJuegos!R$9:R$112)</f>
        <v>0</v>
      </c>
      <c r="H28" s="84">
        <f ca="1">SUMIF(TablaJuegos!$M$9:$M$112,$B28,TablaJuegos!S$9:S$112)</f>
        <v>0</v>
      </c>
      <c r="I28" s="84">
        <f ca="1">SUMIF(TablaJuegos!$M$9:$M$112,$B28,TablaJuegos!T$9:T$112)</f>
        <v>0</v>
      </c>
      <c r="J28" s="85">
        <f ca="1">SUMIF(TablaJuegos!$M$9:$M$112,$B28,TablaJuegos!U$9:U$112)</f>
        <v>0</v>
      </c>
      <c r="K28" s="86">
        <f ca="1">IF($D28=0,0,H28/$D28)</f>
        <v>0</v>
      </c>
      <c r="L28" s="92">
        <f ca="1">IF($D28=0,0,I28/$D28)</f>
        <v>0</v>
      </c>
    </row>
    <row r="29" spans="1:12" x14ac:dyDescent="0.25">
      <c r="A29" s="91" t="str">
        <f ca="1">IF($D29=0,"",IF(COUNTIF(TablaJuegos!$M$72:$M$87,$B29),IF(INDEX(TablaJuegos!$L$72:$L$87,MATCH($B29,TablaJuegos!$M$72:$M$87,0))="","",(INDEX(TablaJuegos!$L$72:$L$87,MATCH($B29,TablaJuegos!$M$72:$M$87,0)))),(IF(LEFT(C29,1)&lt;&gt;"P","",(SUMPRODUCT((((LOOKUP(LEFT(C29,1),{"C",1000;"F",8000;"O",500;"P",100;"S",3000}))*10000+100*D29*E29+30*H29-20*I29+J29)&lt;(10000*((LOOKUP(LEFT(C$3:C$34,1),{"C",1000;"F",8000;"O",500;"P",100;"S",3000})))+100*(D$3:D$34)*(E$3:E$34)+30*(H$3:H$34)-20*(I$3:I$34)+(J$3:J$34)))+0)+1)))))</f>
        <v/>
      </c>
      <c r="B29" s="83" t="s">
        <v>56</v>
      </c>
      <c r="C29" s="30" t="str">
        <f ca="1">IF(COUNTIF(TablaJuegos!$M$111:$M$112,$B29)=1,"Final",IF(COUNTIF(TablaJuegos!$M$100:$M$103,$B29)=1,"SemiFinal",IF(COUNTIF(TablaJuegos!$M$90:$M$97,$B29)=1,"Cuartos de Final",IF(COUNTIF(TablaJuegos!$M$72:$M$87,$B29)=1,"Octavos de Final","Primera Ronda"))))</f>
        <v>Primera Ronda</v>
      </c>
      <c r="D29" s="84">
        <f ca="1">SUMIF(TablaJuegos!$M$9:$M$112,$B29,TablaJuegos!O$9:O$112)</f>
        <v>0</v>
      </c>
      <c r="E29" s="84">
        <f ca="1">SUMIF(TablaJuegos!$M$9:$M$112,$B29,TablaJuegos!P$9:P$112)</f>
        <v>0</v>
      </c>
      <c r="F29" s="84">
        <f ca="1">SUMIF(TablaJuegos!$M$9:$M$112,$B29,TablaJuegos!Q$9:Q$112)</f>
        <v>0</v>
      </c>
      <c r="G29" s="84">
        <f ca="1">SUMIF(TablaJuegos!$M$9:$M$112,$B29,TablaJuegos!R$9:R$112)</f>
        <v>0</v>
      </c>
      <c r="H29" s="84">
        <f ca="1">SUMIF(TablaJuegos!$M$9:$M$112,$B29,TablaJuegos!S$9:S$112)</f>
        <v>0</v>
      </c>
      <c r="I29" s="84">
        <f ca="1">SUMIF(TablaJuegos!$M$9:$M$112,$B29,TablaJuegos!T$9:T$112)</f>
        <v>0</v>
      </c>
      <c r="J29" s="85">
        <f ca="1">SUMIF(TablaJuegos!$M$9:$M$112,$B29,TablaJuegos!U$9:U$112)</f>
        <v>0</v>
      </c>
      <c r="K29" s="86">
        <f ca="1">IF($D29=0,0,H29/$D29)</f>
        <v>0</v>
      </c>
      <c r="L29" s="92">
        <f ca="1">IF($D29=0,0,I29/$D29)</f>
        <v>0</v>
      </c>
    </row>
    <row r="30" spans="1:12" x14ac:dyDescent="0.25">
      <c r="A30" s="91" t="str">
        <f ca="1">IF($D30=0,"",IF(COUNTIF(TablaJuegos!$M$72:$M$87,$B30),IF(INDEX(TablaJuegos!$L$72:$L$87,MATCH($B30,TablaJuegos!$M$72:$M$87,0))="","",(INDEX(TablaJuegos!$L$72:$L$87,MATCH($B30,TablaJuegos!$M$72:$M$87,0)))),(IF(LEFT(C30,1)&lt;&gt;"P","",(SUMPRODUCT((((LOOKUP(LEFT(C30,1),{"C",1000;"F",8000;"O",500;"P",100;"S",3000}))*10000+100*D30*E30+30*H30-20*I30+J30)&lt;(10000*((LOOKUP(LEFT(C$3:C$34,1),{"C",1000;"F",8000;"O",500;"P",100;"S",3000})))+100*(D$3:D$34)*(E$3:E$34)+30*(H$3:H$34)-20*(I$3:I$34)+(J$3:J$34)))+0)+1)))))</f>
        <v/>
      </c>
      <c r="B30" s="83" t="s">
        <v>52</v>
      </c>
      <c r="C30" s="30" t="str">
        <f ca="1">IF(COUNTIF(TablaJuegos!$M$111:$M$112,$B30)=1,"Final",IF(COUNTIF(TablaJuegos!$M$100:$M$103,$B30)=1,"SemiFinal",IF(COUNTIF(TablaJuegos!$M$90:$M$97,$B30)=1,"Cuartos de Final",IF(COUNTIF(TablaJuegos!$M$72:$M$87,$B30)=1,"Octavos de Final","Primera Ronda"))))</f>
        <v>Primera Ronda</v>
      </c>
      <c r="D30" s="84">
        <f ca="1">SUMIF(TablaJuegos!$M$9:$M$112,$B30,TablaJuegos!O$9:O$112)</f>
        <v>0</v>
      </c>
      <c r="E30" s="84">
        <f ca="1">SUMIF(TablaJuegos!$M$9:$M$112,$B30,TablaJuegos!P$9:P$112)</f>
        <v>0</v>
      </c>
      <c r="F30" s="84">
        <f ca="1">SUMIF(TablaJuegos!$M$9:$M$112,$B30,TablaJuegos!Q$9:Q$112)</f>
        <v>0</v>
      </c>
      <c r="G30" s="84">
        <f ca="1">SUMIF(TablaJuegos!$M$9:$M$112,$B30,TablaJuegos!R$9:R$112)</f>
        <v>0</v>
      </c>
      <c r="H30" s="84">
        <f ca="1">SUMIF(TablaJuegos!$M$9:$M$112,$B30,TablaJuegos!S$9:S$112)</f>
        <v>0</v>
      </c>
      <c r="I30" s="84">
        <f ca="1">SUMIF(TablaJuegos!$M$9:$M$112,$B30,TablaJuegos!T$9:T$112)</f>
        <v>0</v>
      </c>
      <c r="J30" s="85">
        <f ca="1">SUMIF(TablaJuegos!$M$9:$M$112,$B30,TablaJuegos!U$9:U$112)</f>
        <v>0</v>
      </c>
      <c r="K30" s="86">
        <f ca="1">IF($D30=0,0,H30/$D30)</f>
        <v>0</v>
      </c>
      <c r="L30" s="92">
        <f ca="1">IF($D30=0,0,I30/$D30)</f>
        <v>0</v>
      </c>
    </row>
    <row r="31" spans="1:12" x14ac:dyDescent="0.25">
      <c r="A31" s="91" t="str">
        <f ca="1">IF($D31=0,"",IF(COUNTIF(TablaJuegos!$M$72:$M$87,$B31),IF(INDEX(TablaJuegos!$L$72:$L$87,MATCH($B31,TablaJuegos!$M$72:$M$87,0))="","",(INDEX(TablaJuegos!$L$72:$L$87,MATCH($B31,TablaJuegos!$M$72:$M$87,0)))),(IF(LEFT(C31,1)&lt;&gt;"P","",(SUMPRODUCT((((LOOKUP(LEFT(C31,1),{"C",1000;"F",8000;"O",500;"P",100;"S",3000}))*10000+100*D31*E31+30*H31-20*I31+J31)&lt;(10000*((LOOKUP(LEFT(C$3:C$34,1),{"C",1000;"F",8000;"O",500;"P",100;"S",3000})))+100*(D$3:D$34)*(E$3:E$34)+30*(H$3:H$34)-20*(I$3:I$34)+(J$3:J$34)))+0)+1)))))</f>
        <v/>
      </c>
      <c r="B31" s="83" t="s">
        <v>18</v>
      </c>
      <c r="C31" s="30" t="str">
        <f ca="1">IF(COUNTIF(TablaJuegos!$M$111:$M$112,$B31)=1,"Final",IF(COUNTIF(TablaJuegos!$M$100:$M$103,$B31)=1,"SemiFinal",IF(COUNTIF(TablaJuegos!$M$90:$M$97,$B31)=1,"Cuartos de Final",IF(COUNTIF(TablaJuegos!$M$72:$M$87,$B31)=1,"Octavos de Final","Primera Ronda"))))</f>
        <v>Primera Ronda</v>
      </c>
      <c r="D31" s="84">
        <f ca="1">SUMIF(TablaJuegos!$M$9:$M$112,$B31,TablaJuegos!O$9:O$112)</f>
        <v>0</v>
      </c>
      <c r="E31" s="84">
        <f ca="1">SUMIF(TablaJuegos!$M$9:$M$112,$B31,TablaJuegos!P$9:P$112)</f>
        <v>0</v>
      </c>
      <c r="F31" s="84">
        <f ca="1">SUMIF(TablaJuegos!$M$9:$M$112,$B31,TablaJuegos!Q$9:Q$112)</f>
        <v>0</v>
      </c>
      <c r="G31" s="84">
        <f ca="1">SUMIF(TablaJuegos!$M$9:$M$112,$B31,TablaJuegos!R$9:R$112)</f>
        <v>0</v>
      </c>
      <c r="H31" s="84">
        <f ca="1">SUMIF(TablaJuegos!$M$9:$M$112,$B31,TablaJuegos!S$9:S$112)</f>
        <v>0</v>
      </c>
      <c r="I31" s="84">
        <f ca="1">SUMIF(TablaJuegos!$M$9:$M$112,$B31,TablaJuegos!T$9:T$112)</f>
        <v>0</v>
      </c>
      <c r="J31" s="85">
        <f ca="1">SUMIF(TablaJuegos!$M$9:$M$112,$B31,TablaJuegos!U$9:U$112)</f>
        <v>0</v>
      </c>
      <c r="K31" s="86">
        <f ca="1">IF($D31=0,0,H31/$D31)</f>
        <v>0</v>
      </c>
      <c r="L31" s="92">
        <f ca="1">IF($D31=0,0,I31/$D31)</f>
        <v>0</v>
      </c>
    </row>
    <row r="32" spans="1:12" x14ac:dyDescent="0.25">
      <c r="A32" s="91" t="str">
        <f ca="1">IF($D32=0,"",IF(COUNTIF(TablaJuegos!$M$72:$M$87,$B32),IF(INDEX(TablaJuegos!$L$72:$L$87,MATCH($B32,TablaJuegos!$M$72:$M$87,0))="","",(INDEX(TablaJuegos!$L$72:$L$87,MATCH($B32,TablaJuegos!$M$72:$M$87,0)))),(IF(LEFT(C32,1)&lt;&gt;"P","",(SUMPRODUCT((((LOOKUP(LEFT(C32,1),{"C",1000;"F",8000;"O",500;"P",100;"S",3000}))*10000+100*D32*E32+30*H32-20*I32+J32)&lt;(10000*((LOOKUP(LEFT(C$3:C$34,1),{"C",1000;"F",8000;"O",500;"P",100;"S",3000})))+100*(D$3:D$34)*(E$3:E$34)+30*(H$3:H$34)-20*(I$3:I$34)+(J$3:J$34)))+0)+1)))))</f>
        <v/>
      </c>
      <c r="B32" s="83" t="s">
        <v>29</v>
      </c>
      <c r="C32" s="30" t="str">
        <f ca="1">IF(COUNTIF(TablaJuegos!$M$111:$M$112,$B32)=1,"Final",IF(COUNTIF(TablaJuegos!$M$100:$M$103,$B32)=1,"SemiFinal",IF(COUNTIF(TablaJuegos!$M$90:$M$97,$B32)=1,"Cuartos de Final",IF(COUNTIF(TablaJuegos!$M$72:$M$87,$B32)=1,"Octavos de Final","Primera Ronda"))))</f>
        <v>Primera Ronda</v>
      </c>
      <c r="D32" s="84">
        <f ca="1">SUMIF(TablaJuegos!$M$9:$M$112,$B32,TablaJuegos!O$9:O$112)</f>
        <v>0</v>
      </c>
      <c r="E32" s="84">
        <f ca="1">SUMIF(TablaJuegos!$M$9:$M$112,$B32,TablaJuegos!P$9:P$112)</f>
        <v>0</v>
      </c>
      <c r="F32" s="84">
        <f ca="1">SUMIF(TablaJuegos!$M$9:$M$112,$B32,TablaJuegos!Q$9:Q$112)</f>
        <v>0</v>
      </c>
      <c r="G32" s="84">
        <f ca="1">SUMIF(TablaJuegos!$M$9:$M$112,$B32,TablaJuegos!R$9:R$112)</f>
        <v>0</v>
      </c>
      <c r="H32" s="84">
        <f ca="1">SUMIF(TablaJuegos!$M$9:$M$112,$B32,TablaJuegos!S$9:S$112)</f>
        <v>0</v>
      </c>
      <c r="I32" s="84">
        <f ca="1">SUMIF(TablaJuegos!$M$9:$M$112,$B32,TablaJuegos!T$9:T$112)</f>
        <v>0</v>
      </c>
      <c r="J32" s="85">
        <f ca="1">SUMIF(TablaJuegos!$M$9:$M$112,$B32,TablaJuegos!U$9:U$112)</f>
        <v>0</v>
      </c>
      <c r="K32" s="86">
        <f ca="1">IF($D32=0,0,H32/$D32)</f>
        <v>0</v>
      </c>
      <c r="L32" s="92">
        <f ca="1">IF($D32=0,0,I32/$D32)</f>
        <v>0</v>
      </c>
    </row>
    <row r="33" spans="1:12" x14ac:dyDescent="0.25">
      <c r="A33" s="91" t="str">
        <f ca="1">IF($D33=0,"",IF(COUNTIF(TablaJuegos!$M$72:$M$87,$B33),IF(INDEX(TablaJuegos!$L$72:$L$87,MATCH($B33,TablaJuegos!$M$72:$M$87,0))="","",(INDEX(TablaJuegos!$L$72:$L$87,MATCH($B33,TablaJuegos!$M$72:$M$87,0)))),(IF(LEFT(C33,1)&lt;&gt;"P","",(SUMPRODUCT((((LOOKUP(LEFT(C33,1),{"C",1000;"F",8000;"O",500;"P",100;"S",3000}))*10000+100*D33*E33+30*H33-20*I33+J33)&lt;(10000*((LOOKUP(LEFT(C$3:C$34,1),{"C",1000;"F",8000;"O",500;"P",100;"S",3000})))+100*(D$3:D$34)*(E$3:E$34)+30*(H$3:H$34)-20*(I$3:I$34)+(J$3:J$34)))+0)+1)))))</f>
        <v/>
      </c>
      <c r="B33" s="83" t="s">
        <v>15</v>
      </c>
      <c r="C33" s="30" t="str">
        <f ca="1">IF(COUNTIF(TablaJuegos!$M$111:$M$112,$B33)=1,"Final",IF(COUNTIF(TablaJuegos!$M$100:$M$103,$B33)=1,"SemiFinal",IF(COUNTIF(TablaJuegos!$M$90:$M$97,$B33)=1,"Cuartos de Final",IF(COUNTIF(TablaJuegos!$M$72:$M$87,$B33)=1,"Octavos de Final","Primera Ronda"))))</f>
        <v>Primera Ronda</v>
      </c>
      <c r="D33" s="84">
        <f ca="1">SUMIF(TablaJuegos!$M$9:$M$112,$B33,TablaJuegos!O$9:O$112)</f>
        <v>0</v>
      </c>
      <c r="E33" s="84">
        <f ca="1">SUMIF(TablaJuegos!$M$9:$M$112,$B33,TablaJuegos!P$9:P$112)</f>
        <v>0</v>
      </c>
      <c r="F33" s="84">
        <f ca="1">SUMIF(TablaJuegos!$M$9:$M$112,$B33,TablaJuegos!Q$9:Q$112)</f>
        <v>0</v>
      </c>
      <c r="G33" s="84">
        <f ca="1">SUMIF(TablaJuegos!$M$9:$M$112,$B33,TablaJuegos!R$9:R$112)</f>
        <v>0</v>
      </c>
      <c r="H33" s="84">
        <f ca="1">SUMIF(TablaJuegos!$M$9:$M$112,$B33,TablaJuegos!S$9:S$112)</f>
        <v>0</v>
      </c>
      <c r="I33" s="84">
        <f ca="1">SUMIF(TablaJuegos!$M$9:$M$112,$B33,TablaJuegos!T$9:T$112)</f>
        <v>0</v>
      </c>
      <c r="J33" s="85">
        <f ca="1">SUMIF(TablaJuegos!$M$9:$M$112,$B33,TablaJuegos!U$9:U$112)</f>
        <v>0</v>
      </c>
      <c r="K33" s="86">
        <f ca="1">IF($D33=0,0,H33/$D33)</f>
        <v>0</v>
      </c>
      <c r="L33" s="92">
        <f ca="1">IF($D33=0,0,I33/$D33)</f>
        <v>0</v>
      </c>
    </row>
    <row r="34" spans="1:12" x14ac:dyDescent="0.25">
      <c r="A34" s="100" t="str">
        <f ca="1">IF($D34=0,"",IF(COUNTIF(TablaJuegos!$M$72:$M$87,$B34),IF(INDEX(TablaJuegos!$L$72:$L$87,MATCH($B34,TablaJuegos!$M$72:$M$87,0))="","",(INDEX(TablaJuegos!$L$72:$L$87,MATCH($B34,TablaJuegos!$M$72:$M$87,0)))),(IF(LEFT(C34,1)&lt;&gt;"P","",(SUMPRODUCT((((LOOKUP(LEFT(C34,1),{"C",1000;"F",8000;"O",500;"P",100;"S",3000}))*10000+100*D34*E34+30*H34-20*I34+J34)&lt;(10000*((LOOKUP(LEFT(C$3:C$34,1),{"C",1000;"F",8000;"O",500;"P",100;"S",3000})))+100*(D$3:D$34)*(E$3:E$34)+30*(H$3:H$34)-20*(I$3:I$34)+(J$3:J$34)))+0)+1)))))</f>
        <v/>
      </c>
      <c r="B34" s="101" t="s">
        <v>59</v>
      </c>
      <c r="C34" s="102" t="str">
        <f ca="1">IF(COUNTIF(TablaJuegos!$M$111:$M$112,$B34)=1,"Final",IF(COUNTIF(TablaJuegos!$M$100:$M$103,$B34)=1,"SemiFinal",IF(COUNTIF(TablaJuegos!$M$90:$M$97,$B34)=1,"Cuartos de Final",IF(COUNTIF(TablaJuegos!$M$72:$M$87,$B34)=1,"Octavos de Final","Primera Ronda"))))</f>
        <v>Primera Ronda</v>
      </c>
      <c r="D34" s="103">
        <f ca="1">SUMIF(TablaJuegos!$M$9:$M$112,$B34,TablaJuegos!O$9:O$112)</f>
        <v>0</v>
      </c>
      <c r="E34" s="103">
        <f ca="1">SUMIF(TablaJuegos!$M$9:$M$112,$B34,TablaJuegos!P$9:P$112)</f>
        <v>0</v>
      </c>
      <c r="F34" s="103">
        <f ca="1">SUMIF(TablaJuegos!$M$9:$M$112,$B34,TablaJuegos!Q$9:Q$112)</f>
        <v>0</v>
      </c>
      <c r="G34" s="103">
        <f ca="1">SUMIF(TablaJuegos!$M$9:$M$112,$B34,TablaJuegos!R$9:R$112)</f>
        <v>0</v>
      </c>
      <c r="H34" s="103">
        <f ca="1">SUMIF(TablaJuegos!$M$9:$M$112,$B34,TablaJuegos!S$9:S$112)</f>
        <v>0</v>
      </c>
      <c r="I34" s="103">
        <f ca="1">SUMIF(TablaJuegos!$M$9:$M$112,$B34,TablaJuegos!T$9:T$112)</f>
        <v>0</v>
      </c>
      <c r="J34" s="104">
        <f ca="1">SUMIF(TablaJuegos!$M$9:$M$112,$B34,TablaJuegos!U$9:U$112)</f>
        <v>0</v>
      </c>
      <c r="K34" s="105">
        <f ca="1">IF($D34=0,0,H34/$D34)</f>
        <v>0</v>
      </c>
      <c r="L34" s="106">
        <f ca="1">IF($D34=0,0,I34/$D34)</f>
        <v>0</v>
      </c>
    </row>
  </sheetData>
  <sheetProtection algorithmName="SHA-512" hashValue="ygxsw5TmkoJkBJtWPZL/MUaKpdU7iotzW6f/rHHVJDGMyV+fqpWIBOhir2wBBiiORsprciZHpNjO/qSS9KPNVw==" saltValue="MwfCPSB5wG7r2wfyGJu/qA==" spinCount="100000"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TablaJuegos</vt:lpstr>
      <vt:lpstr>TablaGeneral</vt:lpstr>
      <vt:lpstr>Campeon</vt:lpstr>
      <vt:lpstr>rng</vt:lpstr>
      <vt:lpstr>rngGoles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AplicacionesFX</dc:creator>
  <cp:lastModifiedBy>AplicacionesFX</cp:lastModifiedBy>
  <dcterms:created xsi:type="dcterms:W3CDTF">2014-03-15T22:58:40Z</dcterms:created>
  <dcterms:modified xsi:type="dcterms:W3CDTF">2022-06-15T14:38:23Z</dcterms:modified>
</cp:coreProperties>
</file>